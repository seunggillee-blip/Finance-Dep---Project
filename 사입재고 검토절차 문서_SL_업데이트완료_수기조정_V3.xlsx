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RT_USER\Desktop\작업폴더\1.MRT\_이슈\25.사입전결\"/>
    </mc:Choice>
  </mc:AlternateContent>
  <xr:revisionPtr revIDLastSave="0" documentId="13_ncr:1_{89388E06-24F6-4F17-9DCC-616546E5FB5B}" xr6:coauthVersionLast="47" xr6:coauthVersionMax="47" xr10:uidLastSave="{00000000-0000-0000-0000-000000000000}"/>
  <bookViews>
    <workbookView xWindow="44025" yWindow="16335" windowWidth="28110" windowHeight="16440" firstSheet="1" activeTab="2" xr2:uid="{00000000-000D-0000-FFFF-FFFF00000000}"/>
    <workbookView minimized="1" xWindow="32060" yWindow="-750" windowWidth="3450" windowHeight="8100" firstSheet="1" activeTab="3" xr2:uid="{A8E3506D-5A3E-4B9E-AA58-037003632987}"/>
  </bookViews>
  <sheets>
    <sheet name="Sheet1" sheetId="1" r:id="rId1"/>
    <sheet name="① 전결규정" sheetId="2" r:id="rId2"/>
    <sheet name="② 사업성 검토 체크리스트" sheetId="3" r:id="rId3"/>
    <sheet name="③ 사업성 검토 시뮬레이터" sheetId="4" r:id="rId4"/>
    <sheet name="③-1 사입적합성 간편법" sheetId="6" r:id="rId5"/>
    <sheet name="④ 데이터 분석 근거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E29" i="6"/>
  <c r="C25" i="6"/>
  <c r="B25" i="6"/>
  <c r="C19" i="6"/>
  <c r="B19" i="6"/>
  <c r="C18" i="6"/>
  <c r="B18" i="6"/>
  <c r="E14" i="6"/>
  <c r="D14" i="6"/>
  <c r="B14" i="6"/>
  <c r="E60" i="4"/>
  <c r="C31" i="4"/>
  <c r="B31" i="4"/>
  <c r="E8" i="4"/>
  <c r="C50" i="4"/>
  <c r="B50" i="4"/>
  <c r="B49" i="4"/>
  <c r="C52" i="4" s="1"/>
  <c r="B48" i="4"/>
  <c r="B43" i="4"/>
  <c r="C43" i="4" s="1"/>
  <c r="D43" i="4" s="1"/>
  <c r="B42" i="4"/>
  <c r="C42" i="4" s="1"/>
  <c r="D42" i="4" s="1"/>
  <c r="B41" i="4"/>
  <c r="B40" i="4"/>
  <c r="C40" i="4" s="1"/>
  <c r="C37" i="4"/>
  <c r="B33" i="4"/>
  <c r="C33" i="4" s="1"/>
  <c r="B32" i="4"/>
  <c r="B30" i="4"/>
  <c r="B37" i="4" s="1"/>
  <c r="B19" i="4"/>
  <c r="B25" i="4" s="1"/>
  <c r="B55" i="4" s="1"/>
  <c r="C18" i="4"/>
  <c r="B18" i="4"/>
  <c r="B57" i="4" s="1"/>
  <c r="B52" i="4" l="1"/>
  <c r="D55" i="4" s="1"/>
  <c r="D40" i="4"/>
  <c r="C41" i="4"/>
  <c r="D41" i="4" s="1"/>
  <c r="C19" i="4"/>
  <c r="C25" i="4"/>
  <c r="C49" i="4"/>
  <c r="B34" i="4"/>
  <c r="C34" i="4" s="1"/>
  <c r="B35" i="4"/>
  <c r="B36" i="4" s="1"/>
  <c r="C36" i="4" s="1"/>
  <c r="B56" i="4"/>
</calcChain>
</file>

<file path=xl/sharedStrings.xml><?xml version="1.0" encoding="utf-8"?>
<sst xmlns="http://schemas.openxmlformats.org/spreadsheetml/2006/main" count="411" uniqueCount="304">
  <si>
    <t>사입 재고 구매 전결규정</t>
  </si>
  <si>
    <t>유효기간 있는 재고자산(티켓, 이용권, 이심/유심, 항공권 하드블럭 등) 구매 시 적용</t>
  </si>
  <si>
    <t>1. 금액 기준별 전결권자 및 승인 절차</t>
  </si>
  <si>
    <t>구분</t>
  </si>
  <si>
    <t>금액 구간</t>
  </si>
  <si>
    <t>건수 비중
(2023-2025)</t>
  </si>
  <si>
    <t>금액 비중
(2023-2025)</t>
  </si>
  <si>
    <t>최종 전결권자</t>
  </si>
  <si>
    <t>사업성 검토서
필수 첨부</t>
  </si>
  <si>
    <t>필수 검토 항목</t>
  </si>
  <si>
    <t>비고</t>
  </si>
  <si>
    <t>1단계</t>
  </si>
  <si>
    <t>5,000만원 이하</t>
  </si>
  <si>
    <t>재무관리실장</t>
  </si>
  <si>
    <t>간이 검토</t>
  </si>
  <si>
    <t>① 마진율 ② 과거 판매실적 ③ 미판매시 처리방안</t>
  </si>
  <si>
    <t>일상적 구매 (건수의 72%)
담당부서 품의 → 재무관리실장 승인</t>
  </si>
  <si>
    <t>2단계</t>
  </si>
  <si>
    <t>5,000만원 초과 ~ 1억원 이하</t>
  </si>
  <si>
    <t>표준 검토</t>
  </si>
  <si>
    <t>① ~ ③ + ④ 손익분기점(BEP) ⑤ 판매 시나리오</t>
  </si>
  <si>
    <t>담당부서 품의 → 재무관리실 검토 → 재무관리실장 승인</t>
  </si>
  <si>
    <t>3단계</t>
  </si>
  <si>
    <t>1억원 초과 ~ 3억원 이하</t>
  </si>
  <si>
    <t>CFO</t>
  </si>
  <si>
    <t>정밀 검토</t>
  </si>
  <si>
    <t>전 항목 + ⑥ 현금흐름 영향 ⑦ 시장/경쟁 분석 ⑧ 환율 리스크</t>
  </si>
  <si>
    <t>⭐ 핵심 구간 (금액의 51%)
담당부서 → 재무관리실 검토 → CFO 승인</t>
  </si>
  <si>
    <t>4단계</t>
  </si>
  <si>
    <t>3억원 초과 ~ 5억원 이하</t>
  </si>
  <si>
    <t>심층 검토</t>
  </si>
  <si>
    <t>전 항목 + ⑨ 재고 분할 매입 검토 ⑩ 전략적 가치 평가</t>
  </si>
  <si>
    <t>대규모 구매
담당부서 → 재무관리실 검토 → CFO 승인</t>
  </si>
  <si>
    <t>5단계</t>
  </si>
  <si>
    <t>5억원 초과</t>
  </si>
  <si>
    <t>최고 수준 검토</t>
  </si>
  <si>
    <t>전 항목 + ⑪ 분할 매입 의무화 ⑫ Exit 전략 수립</t>
  </si>
  <si>
    <t>항공 하드블럭 등 특수 거래 포함
CFO 사전 협의 필수 → 경영진 보고</t>
  </si>
  <si>
    <t>2. 특별 전결 규정 (예외 사항)</t>
  </si>
  <si>
    <t>적용 조건</t>
  </si>
  <si>
    <t>전결권자</t>
  </si>
  <si>
    <t>추가 검토 요구 사항</t>
  </si>
  <si>
    <t>항공권 하드블럭</t>
  </si>
  <si>
    <t>항공권 하드블럭 계약 전건
(금액 무관)</t>
  </si>
  <si>
    <t>노선별 수요 예측, 탑재율 분석, 손실 한도 설정, 환불 조건 확인</t>
  </si>
  <si>
    <t>신규 거래처</t>
  </si>
  <si>
    <t>최초 거래 또는 1년 이상 거래 중단 후 재개
(금액 무관)</t>
  </si>
  <si>
    <t>재무관리실장 이상</t>
  </si>
  <si>
    <t>거래처 신용 평가, 결제 조건 확인, 환불 정책 검토</t>
  </si>
  <si>
    <t>동일 거래처 월간 누적</t>
  </si>
  <si>
    <t>동일 거래처에 월간 누적 구매액이
상위 단계 금액 초과 시</t>
  </si>
  <si>
    <t>상위 단계 전결권자</t>
  </si>
  <si>
    <t>월간 누적 구매액 모니터링 필수
예) JTR 월평균 2.2억 → 월간 누적 3억 초과시 CFO 승인</t>
  </si>
  <si>
    <t>유효기간 3개월 미만</t>
  </si>
  <si>
    <t>유효기간이 3개월 미만인 재고
(금액 무관)</t>
  </si>
  <si>
    <t>유효기간 내 판매 계획의 구체성 검증 필수
미판매시 손실 예상액 명시</t>
  </si>
  <si>
    <t>반품/환불 불가 조건</t>
  </si>
  <si>
    <t>반품·환불이 불가한 계약 조건
(금액 무관)</t>
  </si>
  <si>
    <t>최대 손실액(=전량 미판매) 시나리오 필수 수립
재고 소진 계획 명시</t>
  </si>
  <si>
    <t>3. 품의 시 필수 첨부 서류 목록</t>
  </si>
  <si>
    <t>No.</t>
  </si>
  <si>
    <t>첨부 서류</t>
  </si>
  <si>
    <t>1~2단계
(5천~1억)</t>
  </si>
  <si>
    <t>3단계
(1~3억)</t>
  </si>
  <si>
    <t>4~5단계
(3억 초과)</t>
  </si>
  <si>
    <t>사업성 검토서 (← 검토 체크리스트 + 시뮬레이터)</t>
  </si>
  <si>
    <t>○</t>
  </si>
  <si>
    <t>공급업체 견적서 / 계약서 (초안)</t>
  </si>
  <si>
    <t>과거 동일/유사 상품 판매 실적 자료</t>
  </si>
  <si>
    <t>경쟁사 가격 비교 자료</t>
  </si>
  <si>
    <t>△</t>
  </si>
  <si>
    <t>시장 수요 분석 자료 (Google Trends, 예약 데이터 등)</t>
  </si>
  <si>
    <t>-</t>
  </si>
  <si>
    <t>환율 리스크 분석 (해외 거래처의 경우)</t>
  </si>
  <si>
    <t>재고 소진 계획서 (Exit 전략)</t>
  </si>
  <si>
    <t>분할 매입 계획서 (해당시)</t>
  </si>
  <si>
    <t>○ 필수  △ 권장  - 해당없음</t>
  </si>
  <si>
    <t>사입 재고 구매 사업성 검토 체크리스트</t>
  </si>
  <si>
    <t>재무관리실 검토 시 아래 항목을 순서대로 확인하고, 각 항목별 판단 근거를 기재합니다.</t>
  </si>
  <si>
    <t>검토 영역</t>
  </si>
  <si>
    <t>검토 항목</t>
  </si>
  <si>
    <t>검토 세부 내용 및 기준</t>
  </si>
  <si>
    <t>판단 기준 (예시)</t>
  </si>
  <si>
    <t>적용 단계</t>
  </si>
  <si>
    <t>Check</t>
  </si>
  <si>
    <t>검토자 코멘트</t>
  </si>
  <si>
    <t>① 수익성</t>
  </si>
  <si>
    <t>매입단가 적정성 및 마진율</t>
  </si>
  <si>
    <t>매입단가 vs 경쟁사/이전 비교
마진율=(판매가-매입가)/판매가
중개수수료 대비 직매입 순마진 우위 여부</t>
  </si>
  <si>
    <t>• 마진 15%+: 양호 / 10~15%: 보통 / 10%미만: 주의
• 재고리스크 반영 후에도 중개수수료 대비 유리</t>
  </si>
  <si>
    <t>전 단계</t>
  </si>
  <si>
    <t>□</t>
  </si>
  <si>
    <t>② 판매가능성</t>
  </si>
  <si>
    <t>과거실적 및 수요예측·경쟁환경</t>
  </si>
  <si>
    <t>동일/유사상품 판매율, 시즌성 반영
자사 트래픽 기반 수요예측
경쟁 OTA 3개사+ 판매가 비교, 독점공급 여부</t>
  </si>
  <si>
    <t>• 판매율 90%+: 양호 / 70~90%: 보통 / 70%미만: 주의
• 경쟁사 대비 5% 이내: 경쟁력 유지</t>
  </si>
  <si>
    <t>③ 재고리스크</t>
  </si>
  <si>
    <t>유효기간 및 미판매 리스크</t>
  </si>
  <si>
    <t>유효기간·환불반품조건 확인
최대손실액=매입액-환불가능액</t>
  </si>
  <si>
    <t>• 6개월+/전액환불: 양호 | 3개월미만/환불불가: 주의</t>
  </si>
  <si>
    <t>④ BEP분석</t>
  </si>
  <si>
    <t>BEP 및 시나리오 분석</t>
  </si>
  <si>
    <t>BEP수량=총매입액/건당마진
최선/기본/최악 시나리오 손익→시뮬레이터</t>
  </si>
  <si>
    <t>• BEP비율 70%이하: 양호 / 85%+: 주의
• 최악시나리오 손실 감당 가능해야 승인</t>
  </si>
  <si>
    <t>2단계+</t>
  </si>
  <si>
    <t>⑤ 현금흐름</t>
  </si>
  <si>
    <t>자금소요기간 및 결제조건</t>
  </si>
  <si>
    <t>매입대금지급~판매회수 기간
선급/후급/분할, 운전자본 영향</t>
  </si>
  <si>
    <t>• 자금묶임 1개월이내: 양호 / 3개월+: 주의</t>
  </si>
  <si>
    <t>3단계+</t>
  </si>
  <si>
    <t>⑥ 환율리스크</t>
  </si>
  <si>
    <t>환율변동 영향(±5%)</t>
  </si>
  <si>
    <t>매입통화(USD,JPY)
±5% 환율변동 시 손익시뮬레이션</t>
  </si>
  <si>
    <t>• 5%변동에도 수익유지: 양호 / 3%에 손실: 주의</t>
  </si>
  <si>
    <t>3단계+
(해외)</t>
  </si>
  <si>
    <t>⑦ 재고관리</t>
  </si>
  <si>
    <t>판매소진계획 및 분할매입</t>
  </si>
  <si>
    <t>월별 판매목표, 분할매입 검토
중간점검(유효기간 50%시점) 설정</t>
  </si>
  <si>
    <t>• 3억+ 구매: 분할매입 우선 검토</t>
  </si>
  <si>
    <t>4단계+</t>
  </si>
  <si>
    <t>⑧ 전략적가치</t>
  </si>
  <si>
    <t>전략적 의사결정 요소</t>
  </si>
  <si>
    <t>신규여행지 확대, 독점공급 경쟁우위
고객유입효과(교차판매, LTV)</t>
  </si>
  <si>
    <t>• 마진 낮아도 전략적 가치 높으면 승인 가능</t>
  </si>
  <si>
    <t>⑩ 부가세 불공제</t>
  </si>
  <si>
    <t>이익률 11% 충족 여부</t>
  </si>
  <si>
    <t>사입 이익률 = (판매가-매입가)/판매가
부가세 불공제액 커버 최소 기준</t>
  </si>
  <si>
    <t>• 이익률 11% 이상: 양호 (사입 적합)
• 이익률 8~11%: 주의
• 이익률 11% 미만: 부적합 → 연동전환 검토</t>
  </si>
  <si>
    <t>⑪ 재고 진부화
&amp; 유효기간</t>
  </si>
  <si>
    <t>유효기간·판매소진·환불조건</t>
  </si>
  <si>
    <t>유효기간 확인
월별 판매소진 계획
환불/반품 조건
BEP 판매율 분석</t>
  </si>
  <si>
    <t>• 유효기간 6개월+: 양호
• 환불불가+유효기간3개월미만: 고위험
• 과거판매율 &gt; BEP+5%p: 안전</t>
  </si>
  <si>
    <t>⑨ 거래처신뢰성</t>
  </si>
  <si>
    <t>거래처 이력 및 신용평가</t>
  </si>
  <si>
    <t>기존 거래이력, 신규 신용조사
소량시범 후 확대 권장</t>
  </si>
  <si>
    <t>• 3년+ 거래: 신뢰도 높음 | 신규: 상위전결</t>
  </si>
  <si>
    <t>신규거래처</t>
  </si>
  <si>
    <t>★ 최종 검토 의견</t>
  </si>
  <si>
    <t>검토자:</t>
  </si>
  <si>
    <t>검토일:</t>
  </si>
  <si>
    <t>의견:</t>
  </si>
  <si>
    <t>□ 승인  □ 조건부 승인  □ 반려</t>
  </si>
  <si>
    <t>종합 의견:</t>
  </si>
  <si>
    <t>[ 입력 항목 ]</t>
  </si>
  <si>
    <t>상품명</t>
  </si>
  <si>
    <t>거래처명</t>
  </si>
  <si>
    <t>구매 수량 (매)</t>
  </si>
  <si>
    <t>매입 통화</t>
  </si>
  <si>
    <t>KRW</t>
  </si>
  <si>
    <t>매입단가 (원)</t>
  </si>
  <si>
    <t>환율 (1단위=원)</t>
  </si>
  <si>
    <t>예상 판매가 (원)</t>
  </si>
  <si>
    <t>유효기간 (개월)</t>
  </si>
  <si>
    <t>중개 수수료율 (%)</t>
  </si>
  <si>
    <t>환불/반품 가능율 (%)</t>
  </si>
  <si>
    <t>과거 판매율 (%)</t>
  </si>
  <si>
    <t>결제 조건</t>
  </si>
  <si>
    <t>전액 선급</t>
  </si>
  <si>
    <t>계산값</t>
  </si>
  <si>
    <t>평가</t>
  </si>
  <si>
    <t>총 매입금액</t>
  </si>
  <si>
    <t>적용 전결 단계</t>
  </si>
  <si>
    <t>← 최종 전결권자</t>
  </si>
  <si>
    <t>건당 마진액</t>
  </si>
  <si>
    <t>마진율</t>
  </si>
  <si>
    <t>15%+: 양호 / 10~15%: 보통 / 10%-: 주의</t>
  </si>
  <si>
    <t>BEP 판매수량</t>
  </si>
  <si>
    <t>총매입액 / 판매단가</t>
  </si>
  <si>
    <t>BEP 비율</t>
  </si>
  <si>
    <t>70%-: 양호 / 70~85%: 보통 / 85%+: 주의</t>
  </si>
  <si>
    <t>최대 손실액 (Max Loss)</t>
  </si>
  <si>
    <t>매입액 x (1 - 환불율)</t>
  </si>
  <si>
    <t>시나리오</t>
  </si>
  <si>
    <t>판매수량</t>
  </si>
  <si>
    <t>예상 손익</t>
  </si>
  <si>
    <t>예상 수익률</t>
  </si>
  <si>
    <t>최선 (100% 판매)</t>
  </si>
  <si>
    <t>기본 (과거실적 기반)</t>
  </si>
  <si>
    <t>최악 (50% 판매)</t>
  </si>
  <si>
    <t>최악 + 환불</t>
  </si>
  <si>
    <t>월평균 판매 필요량</t>
  </si>
  <si>
    <t>개/월</t>
  </si>
  <si>
    <t>전결규정 설계 근거 - 실데이터 분석 (2023~2025)</t>
  </si>
  <si>
    <t>1. 금액대별 거래 분포 (2023~2025 비항공권 거래 기준)</t>
  </si>
  <si>
    <t>건수</t>
  </si>
  <si>
    <t>건수 비중</t>
  </si>
  <si>
    <t>누적 건수 비중</t>
  </si>
  <si>
    <t>금액 (억원)</t>
  </si>
  <si>
    <t>금액 비중</t>
  </si>
  <si>
    <t>전결 단계</t>
  </si>
  <si>
    <t>100만원 이하</t>
  </si>
  <si>
    <t>100~500만원</t>
  </si>
  <si>
    <t>500만~5천만원</t>
  </si>
  <si>
    <t>5천만~1억원</t>
  </si>
  <si>
    <t>1억~3억원</t>
  </si>
  <si>
    <t>⭐ 3단계</t>
  </si>
  <si>
    <t>3억~5억원</t>
  </si>
  <si>
    <t>합계</t>
  </si>
  <si>
    <t>2. 전결 금액 기준 설계 근거</t>
  </si>
  <si>
    <t>① 5,000만원 기준</t>
  </si>
  <si>
    <t>건수의 72.2%가 5천만원 이하 → 일상적 구매로 재무관리실장 전결으로 충분</t>
  </si>
  <si>
    <t>② 1억원 기준</t>
  </si>
  <si>
    <t>건수의 83.0%가 1억 이하, 판매실적 기반 BEP/시나리오 검토 추가 필요</t>
  </si>
  <si>
    <t>③ 3억원 기준</t>
  </si>
  <si>
    <t>⭐ 핵심 구간: 건수 15%이지만 금액의 51.2% 차지 → CFO 전결 필수</t>
  </si>
  <si>
    <t>④ 5억원 기준</t>
  </si>
  <si>
    <t>대규모 거래 (3~5억 1.3%, 5억+ 0.7%) → 심층 검토 + Exit 전략 필수</t>
  </si>
  <si>
    <t>⑤ 항공 하드블럭</t>
  </si>
  <si>
    <t>건당 2~12억 규모, 노선 특성상 별도 전결 필요 (금액 무관 CFO 전결)</t>
  </si>
  <si>
    <t>⑥ 항공 하드블럭</t>
  </si>
  <si>
    <t>건당 2~12억, 노선 특성상 금액 무관 CFO 전결</t>
  </si>
  <si>
    <t>3. 주요 거래처 현황 (2025년, 비항공)</t>
  </si>
  <si>
    <t>거래건수</t>
  </si>
  <si>
    <t>합계금액(억)</t>
  </si>
  <si>
    <t>평균금액(만)</t>
  </si>
  <si>
    <t>최대건(만)</t>
  </si>
  <si>
    <t>JTR (USJ/일본 티켓)</t>
  </si>
  <si>
    <t>3단계 (CFO)</t>
  </si>
  <si>
    <t>INTERMUSEES (뛰지엄패스)</t>
  </si>
  <si>
    <t>5단계 (CFO)</t>
  </si>
  <si>
    <t>홍콩 디즈니</t>
  </si>
  <si>
    <t>CEBU TRAVEL</t>
  </si>
  <si>
    <t>(주)이브릿지 (스키장 리프트권)</t>
  </si>
  <si>
    <t>SUN WORLD (VN)</t>
  </si>
  <si>
    <t>Go City Limited</t>
  </si>
  <si>
    <t>2단계 (실장)</t>
  </si>
  <si>
    <t>이스타항공 (항공 하드블럭)</t>
  </si>
  <si>
    <t>항공별도 (CFO)</t>
  </si>
  <si>
    <t>가제트코리아 (이심/유심)</t>
  </si>
  <si>
    <t>1단계 (실장)</t>
  </si>
  <si>
    <t>CIE DES BATEAUX MOUCHES</t>
  </si>
  <si>
    <t>📌 판정 기준 요약</t>
  </si>
  <si>
    <t>① 이익률 ≥ 11%</t>
  </si>
  <si>
    <t>※ 공급가 딜레마</t>
  </si>
  <si>
    <t>※ 11%는 사입규모·판매량 등 통제불가 변수에 따라 달라지나, 과거 데이터 기준 최소 커버 수준입니다.</t>
  </si>
  <si>
    <t>[ 판매 소진 분석 ]</t>
  </si>
  <si>
    <t>사입상품의 판매 가능 기간</t>
  </si>
  <si>
    <t>현재 누적 판매량 (매)</t>
  </si>
  <si>
    <t>50% 시점 목표 판매량</t>
  </si>
  <si>
    <t>⚠ 50% 시점 목표 달성 여부</t>
  </si>
  <si>
    <t>판정 결과</t>
  </si>
  <si>
    <t>상세</t>
  </si>
  <si>
    <t>기준</t>
  </si>
  <si>
    <t>≥ 11% (팔수록 이익)</t>
  </si>
  <si>
    <t>★ 최종 판정</t>
  </si>
  <si>
    <t>② 이익률-수수료율-11%p ≥ 0</t>
  </si>
  <si>
    <t>직매입 마진 - 중개 수수료 - 11%p</t>
  </si>
  <si>
    <t>사입구매 의사결정의 적합성 시뮬레이터</t>
  </si>
  <si>
    <t>[ 사입적합성 1차 판단 ] 부가세 불공제 리스크</t>
  </si>
  <si>
    <t>예상 매출총이익률</t>
  </si>
  <si>
    <t>중개 대비 사입 우위</t>
  </si>
  <si>
    <t>이익률-수수료율-11%p ≥ 0</t>
  </si>
  <si>
    <t>사입 이익률에서 중개 수수료율과 부가세 불공제 11%p를 차감한 값이 0 이상이어야 사입이 연동전환보다 우월</t>
  </si>
  <si>
    <t>▶ 1차 판단 결과</t>
  </si>
  <si>
    <t>[ 사입적합성 2차 판단 ] 재고부담 리스크</t>
  </si>
  <si>
    <t>중개 대비 마진 우위</t>
  </si>
  <si>
    <t>판매 진행 중인 경우 누적 판매량 입력</t>
  </si>
  <si>
    <t>구매수량 전량을 유효기간 내 소진하기 위한 월별 목표</t>
  </si>
  <si>
    <t>절반 시점에 70% 판매 → 나머지 기간에 30%만 판매하면 되어 안전</t>
  </si>
  <si>
    <t>유효기간 50% 시점에 구매량의 70% 판매 여부</t>
  </si>
  <si>
    <t>▶ 2차 판단 결과</t>
  </si>
  <si>
    <t>★ 최종 판단 결과</t>
  </si>
  <si>
    <t>1차 판단 (부가세 불공제)</t>
  </si>
  <si>
    <t>2차 판단 (재고부담)</t>
  </si>
  <si>
    <t>요청부서</t>
  </si>
  <si>
    <t>담당자</t>
  </si>
  <si>
    <t>사입을 요청하는 부서명과 담당자 이름을 기입해주세요.</t>
  </si>
  <si>
    <t>사입구분</t>
  </si>
  <si>
    <t>신규사입</t>
  </si>
  <si>
    <t>"신규사입" 또는 "재사입" 중 선택. 전결금액 기준과 적용 검토방식이 달라집니다.</t>
  </si>
  <si>
    <t>유효기간 존재여부</t>
  </si>
  <si>
    <t>Y</t>
  </si>
  <si>
    <t>반품권 존재여부</t>
  </si>
  <si>
    <t>N</t>
  </si>
  <si>
    <t>유효기간이 있고 반품권이 없으면 미소진 대책을 반드시 기술해야 합니다.</t>
  </si>
  <si>
    <t>사입재고 미소진 시 대책</t>
  </si>
  <si>
    <t>판매할 상품명을 입력해주세요.</t>
  </si>
  <si>
    <t>사입 구매 예정 수량을 입력해주세요.</t>
  </si>
  <si>
    <t>해외 매입 시 통화단위와 환율을 입력해주세요. 원화는 KRW / 1 그대로 사용.</t>
  </si>
  <si>
    <t>중개/연동 수수료율(%). 환불/반품 가능율은 0~1 사이 소수로 입력 (1=100%).</t>
  </si>
  <si>
    <t>[ 정성적 검토 ]</t>
  </si>
  <si>
    <t>사입 사유 기술</t>
  </si>
  <si>
    <t>※ 정량적 검토(시뮬레이터) 결과 부적합임에도 사입을 진행하고자 하는 경우, 정성적 측면의 사입 필요성을 위에 기술해주세요.</t>
  </si>
  <si>
    <t>사입적합성 간편법 시뮬레이터</t>
  </si>
  <si>
    <t>간편법 적용 대상: 신규사입 2천만원 이하 / 재사입 5천만원 이하. 1차 판단(부가세 불공제 리스크)만 적용합니다.</t>
  </si>
  <si>
    <t>"신규사입" 또는 "재사입" 중 선택.</t>
  </si>
  <si>
    <t>해외 매입 시 통화단위와 환율을 입력. 원화는 KRW / 1 그대로.</t>
  </si>
  <si>
    <t>소비자 판매가격(VAT 포함)을 입력해주세요.</t>
  </si>
  <si>
    <t>중개/연동 수수료율(%).</t>
  </si>
  <si>
    <t>총 매입금액 (자동계산)</t>
  </si>
  <si>
    <t>사입상품은 면세 → 공통매입세액 불공제 증가. 최소 11% 이상이어야 불공제세액 커버 가능</t>
  </si>
  <si>
    <t>사입 이익률에서 수수료율과 11%p를 차감한 값이 0 이상이어야 연동전환보다 우월</t>
  </si>
  <si>
    <t>사입은 공급가를 싸게 확보 가능하나, 11% 미만이면 팔수록 손해. 중개는 최대 손실=0원</t>
  </si>
  <si>
    <t>▶ 1차 판단 결과 (간편법 최종)</t>
  </si>
  <si>
    <t>※ 11%는 과거 데이터 기준 최소 커버 수준입니다.</t>
  </si>
  <si>
    <t>※ 정량적 검토 결과 부적합임에도 사입을 진행하고자 하는 경우, 정성적 측면의 사입 필요성을 위에 기술해주세요.</t>
  </si>
  <si>
    <t>원칙 적용 (신규사입 2천만 초과 / 재사입 5천만 초과). 파란색 셀에 수치를 입력하면 자동으로 사업성이 계산됩니다.</t>
  </si>
  <si>
    <t>소비자 판매가격(VAT 제외)을 입력해주세요. 유효기간은 판매 가능 개월 수를 입력.</t>
    <phoneticPr fontId="1" type="noConversion"/>
  </si>
  <si>
    <t>기존 사입상품 재구매인 경우, 근거자료를 지출Plan에 첨부해주시고 판매율 수치를 입력해 주세요.</t>
    <phoneticPr fontId="1" type="noConversion"/>
  </si>
  <si>
    <t>≥ 11% (부가세 불공제액 상외)</t>
    <phoneticPr fontId="1" type="noConversion"/>
  </si>
  <si>
    <t>이익률-수수료율-11%p ≥ 0</t>
    <phoneticPr fontId="1" type="noConversion"/>
  </si>
  <si>
    <t>① 이익률 ≥ 11%</t>
    <phoneticPr fontId="1" type="noConversion"/>
  </si>
  <si>
    <t>사입상품은 면세 → 공통매입세액 불공제 증가. 과거 데이터 분석상 사입상품 이익률이 최소 11% 이상이어야 불공제세액 커버 가능</t>
    <phoneticPr fontId="1" type="noConversion"/>
  </si>
  <si>
    <t>사입은 공급가를 싸게 확보 가능하나, 11% 미만이면 싸게 받아도 팔수록 손해구조이며, 중개는 공급가가 비싸 판매 어려울 수 있으나 최대 손실=0원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</si>
</sst>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&quot;월&quot;\ d&quot;일&quot;"/>
    <numFmt numFmtId="177" formatCode="0.0%"/>
    <numFmt numFmtId="179" formatCode="0.0"/>
    <numFmt numFmtId="182" formatCode="0.0&quot;%&quot;"/>
    <numFmt numFmtId="183" formatCode="0.0&quot;%p&quot;"/>
  </numFmts>
  <fonts count="3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1F4E79"/>
      <name val="맑은 고딕"/>
      <family val="2"/>
      <charset val="129"/>
      <scheme val="minor"/>
    </font>
    <font>
      <i/>
      <sz val="10"/>
      <color rgb="FF808080"/>
      <name val="맑은 고딕"/>
      <family val="2"/>
      <charset val="129"/>
      <scheme val="minor"/>
    </font>
    <font>
      <b/>
      <sz val="12"/>
      <color rgb="FF1F4E79"/>
      <name val="맑은 고딕"/>
      <family val="2"/>
      <charset val="129"/>
      <scheme val="minor"/>
    </font>
    <font>
      <b/>
      <sz val="10"/>
      <color rgb="FFFFFFFF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BF8F00"/>
      <name val="맑은 고딕"/>
      <family val="2"/>
      <charset val="129"/>
      <scheme val="minor"/>
    </font>
    <font>
      <b/>
      <sz val="10"/>
      <color rgb="FFC00000"/>
      <name val="맑은 고딕"/>
      <family val="2"/>
      <charset val="129"/>
      <scheme val="minor"/>
    </font>
    <font>
      <i/>
      <sz val="9"/>
      <color rgb="FF808080"/>
      <name val="맑은 고딕"/>
      <family val="2"/>
      <charset val="129"/>
      <scheme val="minor"/>
    </font>
    <font>
      <b/>
      <sz val="10"/>
      <color rgb="FF1F4E79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0"/>
      <color rgb="FF0000FF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80808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i/>
      <sz val="9"/>
      <color rgb="FF808080"/>
      <name val="맑은 고딕"/>
      <family val="3"/>
      <charset val="129"/>
      <scheme val="minor"/>
    </font>
    <font>
      <b/>
      <sz val="12"/>
      <color rgb="FF1F4E79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rgb="FF1F4E7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i/>
      <sz val="10"/>
      <color rgb="FF808080"/>
      <name val="맑은 고딕"/>
      <family val="3"/>
      <charset val="129"/>
      <scheme val="minor"/>
    </font>
    <font>
      <b/>
      <sz val="16"/>
      <color rgb="FF1F4E79"/>
      <name val="맑은 고딕"/>
      <family val="3"/>
      <charset val="129"/>
      <scheme val="minor"/>
    </font>
    <font>
      <i/>
      <sz val="9"/>
      <color rgb="FFC0000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4" borderId="0" xfId="0" applyFont="1" applyFill="1">
      <alignment vertical="center"/>
    </xf>
    <xf numFmtId="0" fontId="7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10" fontId="6" fillId="4" borderId="0" xfId="0" applyNumberFormat="1" applyFont="1" applyFill="1" applyAlignment="1">
      <alignment horizontal="center" vertical="center"/>
    </xf>
    <xf numFmtId="0" fontId="8" fillId="0" borderId="0" xfId="0" applyFont="1">
      <alignment vertical="center"/>
    </xf>
    <xf numFmtId="0" fontId="8" fillId="4" borderId="0" xfId="0" applyFont="1" applyFill="1">
      <alignment vertical="center"/>
    </xf>
    <xf numFmtId="0" fontId="8" fillId="4" borderId="0" xfId="0" applyFont="1" applyFill="1" applyAlignment="1">
      <alignment vertical="center" wrapText="1"/>
    </xf>
    <xf numFmtId="0" fontId="7" fillId="5" borderId="0" xfId="0" applyFont="1" applyFill="1">
      <alignment vertical="center"/>
    </xf>
    <xf numFmtId="0" fontId="7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0" fontId="6" fillId="5" borderId="0" xfId="0" applyNumberFormat="1" applyFont="1" applyFill="1" applyAlignment="1">
      <alignment horizontal="center" vertical="center"/>
    </xf>
    <xf numFmtId="0" fontId="8" fillId="5" borderId="0" xfId="0" applyFont="1" applyFill="1">
      <alignment vertical="center"/>
    </xf>
    <xf numFmtId="0" fontId="7" fillId="6" borderId="0" xfId="0" applyFont="1" applyFill="1">
      <alignment vertical="center"/>
    </xf>
    <xf numFmtId="0" fontId="7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10" fontId="6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8" fillId="6" borderId="0" xfId="0" applyFont="1" applyFill="1">
      <alignment vertical="center"/>
    </xf>
    <xf numFmtId="0" fontId="8" fillId="6" borderId="0" xfId="0" applyFont="1" applyFill="1" applyAlignment="1">
      <alignment vertical="center" wrapText="1"/>
    </xf>
    <xf numFmtId="0" fontId="7" fillId="7" borderId="0" xfId="0" applyFont="1" applyFill="1">
      <alignment vertical="center"/>
    </xf>
    <xf numFmtId="0" fontId="7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49" fontId="6" fillId="7" borderId="0" xfId="0" applyNumberFormat="1" applyFont="1" applyFill="1" applyAlignment="1">
      <alignment horizontal="center" vertical="center"/>
    </xf>
    <xf numFmtId="10" fontId="6" fillId="7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8" fillId="7" borderId="0" xfId="0" applyFont="1" applyFill="1">
      <alignment vertical="center"/>
    </xf>
    <xf numFmtId="0" fontId="8" fillId="7" borderId="0" xfId="0" applyFont="1" applyFill="1" applyAlignment="1">
      <alignment vertical="center" wrapText="1"/>
    </xf>
    <xf numFmtId="0" fontId="7" fillId="8" borderId="0" xfId="0" applyFont="1" applyFill="1">
      <alignment vertical="center"/>
    </xf>
    <xf numFmtId="0" fontId="7" fillId="8" borderId="0" xfId="0" applyFont="1" applyFill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/>
    </xf>
    <xf numFmtId="10" fontId="6" fillId="8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8" fillId="8" borderId="0" xfId="0" applyFont="1" applyFill="1">
      <alignment vertical="center"/>
    </xf>
    <xf numFmtId="0" fontId="8" fillId="8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6" fillId="9" borderId="0" xfId="0" applyFont="1" applyFill="1">
      <alignment vertical="center"/>
    </xf>
    <xf numFmtId="0" fontId="6" fillId="9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9" borderId="0" xfId="0" applyFont="1" applyFill="1">
      <alignment vertical="center"/>
    </xf>
    <xf numFmtId="0" fontId="12" fillId="0" borderId="0" xfId="0" applyFont="1">
      <alignment vertical="center"/>
    </xf>
    <xf numFmtId="0" fontId="12" fillId="4" borderId="0" xfId="0" applyFont="1" applyFill="1">
      <alignment vertical="center"/>
    </xf>
    <xf numFmtId="176" fontId="6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12" fillId="5" borderId="0" xfId="0" applyFont="1" applyFill="1">
      <alignment vertical="center"/>
    </xf>
    <xf numFmtId="176" fontId="6" fillId="5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12" fillId="6" borderId="0" xfId="0" applyFont="1" applyFill="1">
      <alignment vertical="center"/>
    </xf>
    <xf numFmtId="176" fontId="6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12" fillId="10" borderId="0" xfId="0" applyFont="1" applyFill="1">
      <alignment vertical="center"/>
    </xf>
    <xf numFmtId="176" fontId="6" fillId="10" borderId="0" xfId="0" applyNumberFormat="1" applyFont="1" applyFill="1" applyAlignment="1">
      <alignment horizontal="center" vertical="center"/>
    </xf>
    <xf numFmtId="0" fontId="7" fillId="10" borderId="0" xfId="0" applyFont="1" applyFill="1">
      <alignment vertical="center"/>
    </xf>
    <xf numFmtId="0" fontId="8" fillId="10" borderId="0" xfId="0" applyFont="1" applyFill="1" applyAlignment="1">
      <alignment vertical="center" wrapText="1"/>
    </xf>
    <xf numFmtId="0" fontId="6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0" fillId="10" borderId="0" xfId="0" applyFill="1">
      <alignment vertical="center"/>
    </xf>
    <xf numFmtId="0" fontId="12" fillId="7" borderId="0" xfId="0" applyFont="1" applyFill="1">
      <alignment vertical="center"/>
    </xf>
    <xf numFmtId="176" fontId="6" fillId="7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2" fillId="2" borderId="0" xfId="0" applyFont="1" applyFill="1">
      <alignment vertical="center"/>
    </xf>
    <xf numFmtId="176" fontId="6" fillId="2" borderId="0" xfId="0" applyNumberFormat="1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 applyAlignment="1">
      <alignment vertical="center" wrapText="1"/>
    </xf>
    <xf numFmtId="0" fontId="8" fillId="2" borderId="0" xfId="0" applyFont="1" applyFill="1">
      <alignment vertical="center"/>
    </xf>
    <xf numFmtId="0" fontId="6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7" fillId="9" borderId="0" xfId="0" applyFont="1" applyFill="1">
      <alignment vertical="center"/>
    </xf>
    <xf numFmtId="0" fontId="14" fillId="11" borderId="0" xfId="0" applyFont="1" applyFill="1">
      <alignment vertical="center"/>
    </xf>
    <xf numFmtId="3" fontId="14" fillId="11" borderId="0" xfId="0" applyNumberFormat="1" applyFont="1" applyFill="1">
      <alignment vertical="center"/>
    </xf>
    <xf numFmtId="4" fontId="14" fillId="11" borderId="0" xfId="0" applyNumberFormat="1" applyFont="1" applyFill="1">
      <alignment vertical="center"/>
    </xf>
    <xf numFmtId="177" fontId="14" fillId="11" borderId="0" xfId="0" applyNumberFormat="1" applyFont="1" applyFill="1">
      <alignment vertical="center"/>
    </xf>
    <xf numFmtId="9" fontId="14" fillId="11" borderId="0" xfId="0" applyNumberFormat="1" applyFont="1" applyFill="1">
      <alignment vertical="center"/>
    </xf>
    <xf numFmtId="0" fontId="0" fillId="9" borderId="0" xfId="0" applyFill="1">
      <alignment vertical="center"/>
    </xf>
    <xf numFmtId="3" fontId="6" fillId="4" borderId="0" xfId="0" applyNumberFormat="1" applyFont="1" applyFill="1" applyAlignment="1">
      <alignment horizontal="center" vertical="center"/>
    </xf>
    <xf numFmtId="179" fontId="6" fillId="4" borderId="0" xfId="0" applyNumberFormat="1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179" fontId="6" fillId="5" borderId="0" xfId="0" applyNumberFormat="1" applyFont="1" applyFill="1" applyAlignment="1">
      <alignment horizontal="center" vertical="center"/>
    </xf>
    <xf numFmtId="3" fontId="6" fillId="6" borderId="0" xfId="0" applyNumberFormat="1" applyFont="1" applyFill="1" applyAlignment="1">
      <alignment horizontal="center" vertical="center"/>
    </xf>
    <xf numFmtId="179" fontId="6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179" fontId="6" fillId="7" borderId="0" xfId="0" applyNumberFormat="1" applyFont="1" applyFill="1" applyAlignment="1">
      <alignment horizontal="center" vertical="center"/>
    </xf>
    <xf numFmtId="9" fontId="6" fillId="8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0" fontId="0" fillId="3" borderId="0" xfId="0" applyFill="1">
      <alignment vertical="center"/>
    </xf>
    <xf numFmtId="179" fontId="5" fillId="3" borderId="0" xfId="0" applyNumberFormat="1" applyFont="1" applyFill="1" applyAlignment="1">
      <alignment horizontal="center" vertical="center"/>
    </xf>
    <xf numFmtId="179" fontId="6" fillId="9" borderId="0" xfId="0" applyNumberFormat="1" applyFont="1" applyFill="1" applyAlignment="1">
      <alignment horizontal="center" vertical="center"/>
    </xf>
    <xf numFmtId="3" fontId="6" fillId="9" borderId="0" xfId="0" applyNumberFormat="1" applyFont="1" applyFill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3" fontId="5" fillId="8" borderId="0" xfId="0" applyNumberFormat="1" applyFont="1" applyFill="1" applyAlignment="1">
      <alignment horizontal="center" vertical="center"/>
    </xf>
    <xf numFmtId="10" fontId="5" fillId="8" borderId="0" xfId="0" applyNumberFormat="1" applyFont="1" applyFill="1" applyAlignment="1">
      <alignment horizontal="center" vertical="center"/>
    </xf>
    <xf numFmtId="179" fontId="5" fillId="8" borderId="0" xfId="0" applyNumberFormat="1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top" wrapText="1"/>
    </xf>
    <xf numFmtId="0" fontId="15" fillId="2" borderId="0" xfId="0" applyFont="1" applyFill="1">
      <alignment vertical="center"/>
    </xf>
    <xf numFmtId="0" fontId="16" fillId="9" borderId="0" xfId="0" applyFont="1" applyFill="1">
      <alignment vertical="center"/>
    </xf>
    <xf numFmtId="0" fontId="17" fillId="9" borderId="0" xfId="0" applyFont="1" applyFill="1">
      <alignment vertical="center"/>
    </xf>
    <xf numFmtId="0" fontId="16" fillId="6" borderId="0" xfId="0" applyFont="1" applyFill="1">
      <alignment vertical="center"/>
    </xf>
    <xf numFmtId="0" fontId="19" fillId="6" borderId="0" xfId="0" applyFont="1" applyFill="1">
      <alignment vertical="center"/>
    </xf>
    <xf numFmtId="0" fontId="20" fillId="6" borderId="0" xfId="0" applyFont="1" applyFill="1">
      <alignment vertical="center"/>
    </xf>
    <xf numFmtId="0" fontId="21" fillId="12" borderId="0" xfId="0" applyFont="1" applyFill="1">
      <alignment vertical="center"/>
    </xf>
    <xf numFmtId="0" fontId="22" fillId="2" borderId="0" xfId="0" applyFont="1" applyFill="1">
      <alignment vertical="center"/>
    </xf>
    <xf numFmtId="0" fontId="23" fillId="3" borderId="0" xfId="0" applyFont="1" applyFill="1" applyAlignment="1">
      <alignment horizontal="center" vertical="center"/>
    </xf>
    <xf numFmtId="0" fontId="18" fillId="9" borderId="0" xfId="0" applyFont="1" applyFill="1">
      <alignment vertical="center"/>
    </xf>
    <xf numFmtId="3" fontId="18" fillId="9" borderId="0" xfId="0" applyNumberFormat="1" applyFont="1" applyFill="1">
      <alignment vertical="center"/>
    </xf>
    <xf numFmtId="0" fontId="18" fillId="6" borderId="0" xfId="0" applyFont="1" applyFill="1">
      <alignment vertical="center"/>
    </xf>
    <xf numFmtId="177" fontId="18" fillId="9" borderId="0" xfId="0" applyNumberFormat="1" applyFont="1" applyFill="1">
      <alignment vertical="center"/>
    </xf>
    <xf numFmtId="0" fontId="16" fillId="10" borderId="0" xfId="0" applyFont="1" applyFill="1">
      <alignment vertical="center"/>
    </xf>
    <xf numFmtId="0" fontId="18" fillId="10" borderId="0" xfId="0" applyFont="1" applyFill="1">
      <alignment vertical="center"/>
    </xf>
    <xf numFmtId="3" fontId="18" fillId="10" borderId="0" xfId="0" applyNumberFormat="1" applyFont="1" applyFill="1">
      <alignment vertical="center"/>
    </xf>
    <xf numFmtId="0" fontId="17" fillId="10" borderId="0" xfId="0" applyFont="1" applyFill="1">
      <alignment vertical="center"/>
    </xf>
    <xf numFmtId="177" fontId="18" fillId="10" borderId="0" xfId="0" applyNumberFormat="1" applyFont="1" applyFill="1">
      <alignment vertical="center"/>
    </xf>
    <xf numFmtId="0" fontId="16" fillId="7" borderId="0" xfId="0" applyFont="1" applyFill="1">
      <alignment vertical="center"/>
    </xf>
    <xf numFmtId="0" fontId="18" fillId="7" borderId="0" xfId="0" applyFont="1" applyFill="1">
      <alignment vertical="center"/>
    </xf>
    <xf numFmtId="3" fontId="18" fillId="7" borderId="0" xfId="0" applyNumberFormat="1" applyFont="1" applyFill="1">
      <alignment vertical="center"/>
    </xf>
    <xf numFmtId="0" fontId="17" fillId="7" borderId="0" xfId="0" applyFont="1" applyFill="1">
      <alignment vertical="center"/>
    </xf>
    <xf numFmtId="0" fontId="16" fillId="4" borderId="0" xfId="0" applyFont="1" applyFill="1">
      <alignment vertical="center"/>
    </xf>
    <xf numFmtId="3" fontId="18" fillId="4" borderId="0" xfId="0" applyNumberFormat="1" applyFont="1" applyFill="1">
      <alignment vertical="center"/>
    </xf>
    <xf numFmtId="177" fontId="18" fillId="4" borderId="0" xfId="0" applyNumberFormat="1" applyFont="1" applyFill="1">
      <alignment vertical="center"/>
    </xf>
    <xf numFmtId="0" fontId="16" fillId="5" borderId="0" xfId="0" applyFont="1" applyFill="1">
      <alignment vertical="center"/>
    </xf>
    <xf numFmtId="0" fontId="18" fillId="5" borderId="0" xfId="0" applyFont="1" applyFill="1">
      <alignment vertical="center"/>
    </xf>
    <xf numFmtId="3" fontId="18" fillId="5" borderId="0" xfId="0" applyNumberFormat="1" applyFont="1" applyFill="1">
      <alignment vertical="center"/>
    </xf>
    <xf numFmtId="177" fontId="18" fillId="5" borderId="0" xfId="0" applyNumberFormat="1" applyFont="1" applyFill="1">
      <alignment vertical="center"/>
    </xf>
    <xf numFmtId="177" fontId="18" fillId="7" borderId="0" xfId="0" applyNumberFormat="1" applyFont="1" applyFill="1">
      <alignment vertical="center"/>
    </xf>
    <xf numFmtId="0" fontId="16" fillId="8" borderId="0" xfId="0" applyFont="1" applyFill="1">
      <alignment vertical="center"/>
    </xf>
    <xf numFmtId="3" fontId="18" fillId="8" borderId="0" xfId="0" applyNumberFormat="1" applyFont="1" applyFill="1">
      <alignment vertical="center"/>
    </xf>
    <xf numFmtId="177" fontId="18" fillId="8" borderId="0" xfId="0" applyNumberFormat="1" applyFont="1" applyFill="1">
      <alignment vertical="center"/>
    </xf>
    <xf numFmtId="0" fontId="19" fillId="12" borderId="0" xfId="0" applyFont="1" applyFill="1">
      <alignment vertical="center"/>
    </xf>
    <xf numFmtId="0" fontId="26" fillId="12" borderId="0" xfId="0" applyFont="1" applyFill="1">
      <alignment vertical="center"/>
    </xf>
    <xf numFmtId="0" fontId="27" fillId="12" borderId="0" xfId="0" applyFont="1" applyFill="1">
      <alignment vertical="center"/>
    </xf>
    <xf numFmtId="0" fontId="17" fillId="12" borderId="0" xfId="0" applyFont="1" applyFill="1">
      <alignment vertical="center"/>
    </xf>
    <xf numFmtId="0" fontId="28" fillId="12" borderId="0" xfId="0" applyFont="1" applyFill="1">
      <alignment vertical="center"/>
    </xf>
    <xf numFmtId="0" fontId="29" fillId="11" borderId="0" xfId="0" applyFont="1" applyFill="1">
      <alignment vertical="center"/>
    </xf>
    <xf numFmtId="0" fontId="17" fillId="5" borderId="0" xfId="0" applyFont="1" applyFill="1">
      <alignment vertical="center"/>
    </xf>
    <xf numFmtId="182" fontId="18" fillId="9" borderId="0" xfId="0" applyNumberFormat="1" applyFont="1" applyFill="1">
      <alignment vertical="center"/>
    </xf>
    <xf numFmtId="0" fontId="17" fillId="6" borderId="0" xfId="0" applyFont="1" applyFill="1">
      <alignment vertical="center"/>
    </xf>
    <xf numFmtId="0" fontId="25" fillId="13" borderId="0" xfId="0" applyFont="1" applyFill="1">
      <alignment vertical="center"/>
    </xf>
    <xf numFmtId="0" fontId="0" fillId="13" borderId="0" xfId="0" applyFill="1">
      <alignment vertical="center"/>
    </xf>
    <xf numFmtId="0" fontId="30" fillId="12" borderId="0" xfId="0" applyFont="1" applyFill="1">
      <alignment vertical="center"/>
    </xf>
    <xf numFmtId="0" fontId="31" fillId="2" borderId="0" xfId="0" applyFont="1" applyFill="1">
      <alignment vertical="center"/>
    </xf>
    <xf numFmtId="183" fontId="18" fillId="10" borderId="0" xfId="0" applyNumberFormat="1" applyFont="1" applyFill="1">
      <alignment vertical="center"/>
    </xf>
    <xf numFmtId="0" fontId="24" fillId="2" borderId="0" xfId="0" applyFont="1" applyFill="1">
      <alignment vertical="center"/>
    </xf>
    <xf numFmtId="0" fontId="32" fillId="12" borderId="0" xfId="0" applyFont="1" applyFill="1">
      <alignment vertical="center"/>
    </xf>
    <xf numFmtId="0" fontId="18" fillId="11" borderId="0" xfId="0" applyFont="1" applyFill="1">
      <alignment vertical="center"/>
    </xf>
    <xf numFmtId="3" fontId="18" fillId="6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F09243-8196-4056-B68D-641A4B95A5E4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  <sheetView workbookViewId="1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workbookViewId="0">
      <selection activeCell="F19" sqref="F19"/>
    </sheetView>
    <sheetView workbookViewId="1"/>
  </sheetViews>
  <sheetFormatPr defaultRowHeight="16.5" x14ac:dyDescent="0.3"/>
  <cols>
    <col min="1" max="1" width="21.625" style="118" customWidth="1"/>
    <col min="2" max="2" width="33.375" style="118" customWidth="1"/>
    <col min="3" max="4" width="16.625" style="118" customWidth="1"/>
    <col min="5" max="5" width="19.125" style="118" customWidth="1"/>
    <col min="6" max="6" width="16.625" style="118" customWidth="1"/>
    <col min="7" max="7" width="46.625" style="118" customWidth="1"/>
    <col min="8" max="8" width="41.625" style="118" customWidth="1"/>
  </cols>
  <sheetData>
    <row r="1" spans="1:10" ht="26.2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1</v>
      </c>
    </row>
    <row r="4" spans="1:10" ht="17.25" customHeight="1" x14ac:dyDescent="0.3">
      <c r="A4" s="4" t="s">
        <v>2</v>
      </c>
    </row>
    <row r="6" spans="1:10" ht="27" customHeight="1" x14ac:dyDescent="0.3">
      <c r="A6" s="5" t="s">
        <v>3</v>
      </c>
      <c r="B6" s="5" t="s">
        <v>4</v>
      </c>
      <c r="C6" s="6" t="s">
        <v>5</v>
      </c>
      <c r="D6" s="6" t="s">
        <v>6</v>
      </c>
      <c r="E6" s="5" t="s">
        <v>7</v>
      </c>
      <c r="F6" s="6" t="s">
        <v>8</v>
      </c>
      <c r="G6" s="6" t="s">
        <v>9</v>
      </c>
      <c r="H6" s="6" t="s">
        <v>10</v>
      </c>
    </row>
    <row r="7" spans="1:10" ht="24" customHeight="1" x14ac:dyDescent="0.3">
      <c r="A7" s="10" t="s">
        <v>11</v>
      </c>
      <c r="B7" s="12" t="s">
        <v>12</v>
      </c>
      <c r="C7" s="13">
        <v>0.72199999999999998</v>
      </c>
      <c r="D7" s="13">
        <v>8.7999999999999995E-2</v>
      </c>
      <c r="E7" s="10" t="s">
        <v>13</v>
      </c>
      <c r="F7" s="10" t="s">
        <v>14</v>
      </c>
      <c r="G7" s="15" t="s">
        <v>15</v>
      </c>
      <c r="H7" s="16" t="s">
        <v>16</v>
      </c>
    </row>
    <row r="8" spans="1:10" x14ac:dyDescent="0.3">
      <c r="A8" s="18" t="s">
        <v>17</v>
      </c>
      <c r="B8" s="20" t="s">
        <v>18</v>
      </c>
      <c r="C8" s="21">
        <v>0.108</v>
      </c>
      <c r="D8" s="21">
        <v>0.13800000000000001</v>
      </c>
      <c r="E8" s="18" t="s">
        <v>13</v>
      </c>
      <c r="F8" s="18" t="s">
        <v>19</v>
      </c>
      <c r="G8" s="22" t="s">
        <v>20</v>
      </c>
      <c r="H8" s="46" t="s">
        <v>21</v>
      </c>
    </row>
    <row r="9" spans="1:10" ht="24" customHeight="1" x14ac:dyDescent="0.3">
      <c r="A9" s="24" t="s">
        <v>22</v>
      </c>
      <c r="B9" s="26" t="s">
        <v>23</v>
      </c>
      <c r="C9" s="27">
        <v>0.151</v>
      </c>
      <c r="D9" s="27">
        <v>0.51200000000000001</v>
      </c>
      <c r="E9" s="28" t="s">
        <v>24</v>
      </c>
      <c r="F9" s="24" t="s">
        <v>25</v>
      </c>
      <c r="G9" s="29" t="s">
        <v>26</v>
      </c>
      <c r="H9" s="30" t="s">
        <v>27</v>
      </c>
    </row>
    <row r="10" spans="1:10" ht="24" customHeight="1" x14ac:dyDescent="0.3">
      <c r="A10" s="32" t="s">
        <v>28</v>
      </c>
      <c r="B10" s="34" t="s">
        <v>29</v>
      </c>
      <c r="C10" s="35">
        <v>1.2999999999999999E-2</v>
      </c>
      <c r="D10" s="35">
        <v>8.5999999999999993E-2</v>
      </c>
      <c r="E10" s="108" t="s">
        <v>24</v>
      </c>
      <c r="F10" s="109" t="s">
        <v>30</v>
      </c>
      <c r="G10" s="37" t="s">
        <v>31</v>
      </c>
      <c r="H10" s="38" t="s">
        <v>32</v>
      </c>
    </row>
    <row r="11" spans="1:10" ht="24" customHeight="1" x14ac:dyDescent="0.3">
      <c r="A11" s="40" t="s">
        <v>33</v>
      </c>
      <c r="B11" s="41" t="s">
        <v>34</v>
      </c>
      <c r="C11" s="42">
        <v>7.0000000000000001E-3</v>
      </c>
      <c r="D11" s="42">
        <v>0.17499999999999999</v>
      </c>
      <c r="E11" s="110" t="s">
        <v>24</v>
      </c>
      <c r="F11" s="43" t="s">
        <v>35</v>
      </c>
      <c r="G11" s="44" t="s">
        <v>36</v>
      </c>
      <c r="H11" s="45" t="s">
        <v>37</v>
      </c>
    </row>
    <row r="13" spans="1:10" ht="17.25" customHeight="1" x14ac:dyDescent="0.3">
      <c r="A13" s="4" t="s">
        <v>38</v>
      </c>
    </row>
    <row r="15" spans="1:10" x14ac:dyDescent="0.3">
      <c r="A15" s="5" t="s">
        <v>3</v>
      </c>
      <c r="B15" s="5" t="s">
        <v>39</v>
      </c>
      <c r="C15" s="5" t="s">
        <v>40</v>
      </c>
      <c r="D15" s="5" t="s">
        <v>41</v>
      </c>
    </row>
    <row r="16" spans="1:10" ht="24" customHeight="1" x14ac:dyDescent="0.3">
      <c r="A16" s="9" t="s">
        <v>42</v>
      </c>
      <c r="B16" s="16" t="s">
        <v>43</v>
      </c>
      <c r="C16" s="111" t="s">
        <v>24</v>
      </c>
      <c r="D16" s="15" t="s">
        <v>44</v>
      </c>
    </row>
    <row r="17" spans="1:5" ht="36" customHeight="1" x14ac:dyDescent="0.3">
      <c r="A17" s="17" t="s">
        <v>45</v>
      </c>
      <c r="B17" s="46" t="s">
        <v>46</v>
      </c>
      <c r="C17" s="112" t="s">
        <v>47</v>
      </c>
      <c r="D17" s="46" t="s">
        <v>48</v>
      </c>
    </row>
    <row r="18" spans="1:5" ht="60" customHeight="1" x14ac:dyDescent="0.3">
      <c r="A18" s="23" t="s">
        <v>49</v>
      </c>
      <c r="B18" s="30" t="s">
        <v>50</v>
      </c>
      <c r="C18" s="24" t="s">
        <v>51</v>
      </c>
      <c r="D18" s="30" t="s">
        <v>52</v>
      </c>
    </row>
    <row r="19" spans="1:5" ht="48" customHeight="1" x14ac:dyDescent="0.3">
      <c r="A19" s="31" t="s">
        <v>53</v>
      </c>
      <c r="B19" s="38" t="s">
        <v>54</v>
      </c>
      <c r="C19" s="32" t="s">
        <v>51</v>
      </c>
      <c r="D19" s="38" t="s">
        <v>55</v>
      </c>
    </row>
    <row r="20" spans="1:5" ht="36" customHeight="1" x14ac:dyDescent="0.3">
      <c r="A20" s="39" t="s">
        <v>56</v>
      </c>
      <c r="B20" s="45" t="s">
        <v>57</v>
      </c>
      <c r="C20" s="40" t="s">
        <v>51</v>
      </c>
      <c r="D20" s="45" t="s">
        <v>58</v>
      </c>
    </row>
    <row r="22" spans="1:5" ht="17.25" customHeight="1" x14ac:dyDescent="0.3">
      <c r="A22" s="4" t="s">
        <v>59</v>
      </c>
    </row>
    <row r="24" spans="1:5" ht="27" customHeight="1" x14ac:dyDescent="0.3">
      <c r="A24" s="5" t="s">
        <v>60</v>
      </c>
      <c r="B24" s="5" t="s">
        <v>61</v>
      </c>
      <c r="C24" s="6" t="s">
        <v>62</v>
      </c>
      <c r="D24" s="6" t="s">
        <v>63</v>
      </c>
      <c r="E24" s="6" t="s">
        <v>64</v>
      </c>
    </row>
    <row r="25" spans="1:5" x14ac:dyDescent="0.3">
      <c r="A25" s="48">
        <v>1</v>
      </c>
      <c r="B25" s="47" t="s">
        <v>65</v>
      </c>
      <c r="C25" s="48" t="s">
        <v>66</v>
      </c>
      <c r="D25" s="48" t="s">
        <v>66</v>
      </c>
      <c r="E25" s="48" t="s">
        <v>66</v>
      </c>
    </row>
    <row r="26" spans="1:5" x14ac:dyDescent="0.3">
      <c r="A26" s="49">
        <v>2</v>
      </c>
      <c r="B26" s="7" t="s">
        <v>67</v>
      </c>
      <c r="C26" s="49" t="s">
        <v>66</v>
      </c>
      <c r="D26" s="49" t="s">
        <v>66</v>
      </c>
      <c r="E26" s="49" t="s">
        <v>66</v>
      </c>
    </row>
    <row r="27" spans="1:5" x14ac:dyDescent="0.3">
      <c r="A27" s="48">
        <v>3</v>
      </c>
      <c r="B27" s="47" t="s">
        <v>68</v>
      </c>
      <c r="C27" s="48" t="s">
        <v>66</v>
      </c>
      <c r="D27" s="48" t="s">
        <v>66</v>
      </c>
      <c r="E27" s="48" t="s">
        <v>66</v>
      </c>
    </row>
    <row r="28" spans="1:5" x14ac:dyDescent="0.3">
      <c r="A28" s="49">
        <v>4</v>
      </c>
      <c r="B28" s="7" t="s">
        <v>69</v>
      </c>
      <c r="C28" s="49" t="s">
        <v>70</v>
      </c>
      <c r="D28" s="49" t="s">
        <v>66</v>
      </c>
      <c r="E28" s="49" t="s">
        <v>66</v>
      </c>
    </row>
    <row r="29" spans="1:5" x14ac:dyDescent="0.3">
      <c r="A29" s="48">
        <v>5</v>
      </c>
      <c r="B29" s="47" t="s">
        <v>71</v>
      </c>
      <c r="C29" s="48" t="s">
        <v>72</v>
      </c>
      <c r="D29" s="48" t="s">
        <v>66</v>
      </c>
      <c r="E29" s="48" t="s">
        <v>66</v>
      </c>
    </row>
    <row r="30" spans="1:5" x14ac:dyDescent="0.3">
      <c r="A30" s="49">
        <v>6</v>
      </c>
      <c r="B30" s="7" t="s">
        <v>73</v>
      </c>
      <c r="C30" s="49" t="s">
        <v>72</v>
      </c>
      <c r="D30" s="49" t="s">
        <v>66</v>
      </c>
      <c r="E30" s="49" t="s">
        <v>66</v>
      </c>
    </row>
    <row r="31" spans="1:5" x14ac:dyDescent="0.3">
      <c r="A31" s="48">
        <v>7</v>
      </c>
      <c r="B31" s="47" t="s">
        <v>74</v>
      </c>
      <c r="C31" s="48" t="s">
        <v>72</v>
      </c>
      <c r="D31" s="48" t="s">
        <v>72</v>
      </c>
      <c r="E31" s="48" t="s">
        <v>66</v>
      </c>
    </row>
    <row r="32" spans="1:5" x14ac:dyDescent="0.3">
      <c r="A32" s="49">
        <v>8</v>
      </c>
      <c r="B32" s="7" t="s">
        <v>75</v>
      </c>
      <c r="C32" s="49" t="s">
        <v>72</v>
      </c>
      <c r="D32" s="49" t="s">
        <v>72</v>
      </c>
      <c r="E32" s="49" t="s">
        <v>66</v>
      </c>
    </row>
    <row r="33" spans="1:2" x14ac:dyDescent="0.3">
      <c r="A33" s="14"/>
      <c r="B33" s="50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tabSelected="1" workbookViewId="0">
      <selection activeCell="D5" sqref="D5"/>
    </sheetView>
    <sheetView workbookViewId="1"/>
  </sheetViews>
  <sheetFormatPr defaultRowHeight="16.5" x14ac:dyDescent="0.3"/>
  <cols>
    <col min="1" max="1" width="18.375" style="118" customWidth="1"/>
    <col min="2" max="2" width="6.625" style="118" customWidth="1"/>
    <col min="3" max="3" width="30" style="118" customWidth="1"/>
    <col min="4" max="5" width="41.625" style="118" customWidth="1"/>
    <col min="6" max="6" width="13.375" style="118" customWidth="1"/>
    <col min="7" max="7" width="8.375" style="118" customWidth="1"/>
    <col min="8" max="8" width="30" style="118" customWidth="1"/>
  </cols>
  <sheetData>
    <row r="1" spans="1:8" ht="26.25" customHeight="1" x14ac:dyDescent="0.3">
      <c r="A1" s="1" t="s">
        <v>77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78</v>
      </c>
    </row>
    <row r="4" spans="1:8" x14ac:dyDescent="0.3">
      <c r="A4" s="5" t="s">
        <v>79</v>
      </c>
      <c r="B4" s="5" t="s">
        <v>60</v>
      </c>
      <c r="C4" s="5" t="s">
        <v>80</v>
      </c>
      <c r="D4" s="5" t="s">
        <v>81</v>
      </c>
      <c r="E4" s="5" t="s">
        <v>82</v>
      </c>
      <c r="F4" s="5" t="s">
        <v>83</v>
      </c>
      <c r="G4" s="5" t="s">
        <v>84</v>
      </c>
      <c r="H4" s="5" t="s">
        <v>85</v>
      </c>
    </row>
    <row r="5" spans="1:8" ht="120" customHeight="1" x14ac:dyDescent="0.3">
      <c r="A5" s="52" t="s">
        <v>86</v>
      </c>
      <c r="B5" s="53">
        <v>46023</v>
      </c>
      <c r="C5" s="9" t="s">
        <v>87</v>
      </c>
      <c r="D5" s="16" t="s">
        <v>88</v>
      </c>
      <c r="E5" s="16" t="s">
        <v>89</v>
      </c>
      <c r="F5" s="11" t="s">
        <v>90</v>
      </c>
      <c r="G5" s="54" t="s">
        <v>91</v>
      </c>
      <c r="H5" s="55"/>
    </row>
    <row r="6" spans="1:8" ht="120" customHeight="1" x14ac:dyDescent="0.3">
      <c r="A6" s="56" t="s">
        <v>92</v>
      </c>
      <c r="B6" s="57">
        <v>46054</v>
      </c>
      <c r="C6" s="17" t="s">
        <v>93</v>
      </c>
      <c r="D6" s="46" t="s">
        <v>94</v>
      </c>
      <c r="E6" s="46" t="s">
        <v>95</v>
      </c>
      <c r="F6" s="19" t="s">
        <v>90</v>
      </c>
      <c r="G6" s="58" t="s">
        <v>91</v>
      </c>
      <c r="H6" s="59"/>
    </row>
    <row r="7" spans="1:8" ht="72" customHeight="1" x14ac:dyDescent="0.3">
      <c r="A7" s="60" t="s">
        <v>96</v>
      </c>
      <c r="B7" s="61">
        <v>46082</v>
      </c>
      <c r="C7" s="23" t="s">
        <v>97</v>
      </c>
      <c r="D7" s="30" t="s">
        <v>98</v>
      </c>
      <c r="E7" s="29" t="s">
        <v>99</v>
      </c>
      <c r="F7" s="25" t="s">
        <v>90</v>
      </c>
      <c r="G7" s="62" t="s">
        <v>91</v>
      </c>
      <c r="H7" s="63"/>
    </row>
    <row r="8" spans="1:8" ht="96" customHeight="1" x14ac:dyDescent="0.3">
      <c r="A8" s="64" t="s">
        <v>100</v>
      </c>
      <c r="B8" s="65">
        <v>46113</v>
      </c>
      <c r="C8" s="66" t="s">
        <v>101</v>
      </c>
      <c r="D8" s="67" t="s">
        <v>102</v>
      </c>
      <c r="E8" s="67" t="s">
        <v>103</v>
      </c>
      <c r="F8" s="68" t="s">
        <v>104</v>
      </c>
      <c r="G8" s="69" t="s">
        <v>91</v>
      </c>
      <c r="H8" s="70"/>
    </row>
    <row r="9" spans="1:8" ht="72" customHeight="1" x14ac:dyDescent="0.3">
      <c r="A9" s="71" t="s">
        <v>105</v>
      </c>
      <c r="B9" s="72">
        <v>46143</v>
      </c>
      <c r="C9" s="31" t="s">
        <v>106</v>
      </c>
      <c r="D9" s="38" t="s">
        <v>107</v>
      </c>
      <c r="E9" s="37" t="s">
        <v>108</v>
      </c>
      <c r="F9" s="33" t="s">
        <v>109</v>
      </c>
      <c r="G9" s="73" t="s">
        <v>91</v>
      </c>
      <c r="H9" s="74"/>
    </row>
    <row r="10" spans="1:8" ht="60" customHeight="1" x14ac:dyDescent="0.3">
      <c r="A10" s="75" t="s">
        <v>110</v>
      </c>
      <c r="B10" s="76">
        <v>46174</v>
      </c>
      <c r="C10" s="77" t="s">
        <v>111</v>
      </c>
      <c r="D10" s="78" t="s">
        <v>112</v>
      </c>
      <c r="E10" s="79" t="s">
        <v>113</v>
      </c>
      <c r="F10" s="80" t="s">
        <v>114</v>
      </c>
      <c r="G10" s="81" t="s">
        <v>91</v>
      </c>
      <c r="H10" s="2"/>
    </row>
    <row r="11" spans="1:8" ht="72" customHeight="1" x14ac:dyDescent="0.3">
      <c r="A11" s="52" t="s">
        <v>115</v>
      </c>
      <c r="B11" s="53">
        <v>46204</v>
      </c>
      <c r="C11" s="9" t="s">
        <v>116</v>
      </c>
      <c r="D11" s="16" t="s">
        <v>117</v>
      </c>
      <c r="E11" s="15" t="s">
        <v>118</v>
      </c>
      <c r="F11" s="11" t="s">
        <v>119</v>
      </c>
      <c r="G11" s="54" t="s">
        <v>91</v>
      </c>
      <c r="H11" s="55"/>
    </row>
    <row r="12" spans="1:8" ht="72" customHeight="1" x14ac:dyDescent="0.3">
      <c r="A12" s="56" t="s">
        <v>120</v>
      </c>
      <c r="B12" s="57">
        <v>46235</v>
      </c>
      <c r="C12" s="17" t="s">
        <v>121</v>
      </c>
      <c r="D12" s="46" t="s">
        <v>122</v>
      </c>
      <c r="E12" s="22" t="s">
        <v>123</v>
      </c>
      <c r="F12" s="19" t="s">
        <v>119</v>
      </c>
      <c r="G12" s="58" t="s">
        <v>91</v>
      </c>
      <c r="H12" s="59"/>
    </row>
    <row r="13" spans="1:8" ht="60" customHeight="1" x14ac:dyDescent="0.3">
      <c r="A13" s="119" t="s">
        <v>124</v>
      </c>
      <c r="B13" s="119" t="s">
        <v>125</v>
      </c>
      <c r="C13" s="119" t="s">
        <v>126</v>
      </c>
      <c r="D13" s="119" t="s">
        <v>127</v>
      </c>
      <c r="E13" s="119" t="s">
        <v>90</v>
      </c>
      <c r="F13" s="119" t="s">
        <v>91</v>
      </c>
      <c r="G13" s="119"/>
    </row>
    <row r="14" spans="1:8" ht="66" x14ac:dyDescent="0.3">
      <c r="A14" s="119" t="s">
        <v>128</v>
      </c>
      <c r="B14" s="119" t="s">
        <v>129</v>
      </c>
      <c r="C14" s="119" t="s">
        <v>130</v>
      </c>
      <c r="D14" s="119" t="s">
        <v>131</v>
      </c>
      <c r="E14" s="119" t="s">
        <v>90</v>
      </c>
      <c r="F14" s="119" t="s">
        <v>91</v>
      </c>
      <c r="G14" s="119"/>
    </row>
    <row r="15" spans="1:8" ht="24" x14ac:dyDescent="0.3">
      <c r="A15" s="60" t="s">
        <v>132</v>
      </c>
      <c r="B15" s="61">
        <v>46266</v>
      </c>
      <c r="C15" s="23" t="s">
        <v>133</v>
      </c>
      <c r="D15" s="30" t="s">
        <v>134</v>
      </c>
      <c r="E15" s="29" t="s">
        <v>135</v>
      </c>
      <c r="F15" s="25" t="s">
        <v>136</v>
      </c>
      <c r="G15" s="62" t="s">
        <v>91</v>
      </c>
      <c r="H15" s="63"/>
    </row>
    <row r="16" spans="1:8" ht="17.25" customHeight="1" x14ac:dyDescent="0.3"/>
    <row r="18" spans="1:8" ht="17.25" x14ac:dyDescent="0.3">
      <c r="A18" s="82" t="s">
        <v>137</v>
      </c>
      <c r="B18" s="2"/>
      <c r="C18" s="2"/>
      <c r="D18" s="2"/>
      <c r="E18" s="2"/>
      <c r="F18" s="2"/>
      <c r="G18" s="2"/>
      <c r="H18" s="2"/>
    </row>
    <row r="19" spans="1:8" x14ac:dyDescent="0.3">
      <c r="A19" s="8" t="s">
        <v>138</v>
      </c>
      <c r="C19" s="8" t="s">
        <v>139</v>
      </c>
      <c r="E19" s="8" t="s">
        <v>140</v>
      </c>
      <c r="F19" s="7" t="s">
        <v>141</v>
      </c>
    </row>
    <row r="20" spans="1:8" x14ac:dyDescent="0.3">
      <c r="A20" s="8" t="s">
        <v>142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"/>
  <sheetViews>
    <sheetView topLeftCell="A37" workbookViewId="0">
      <selection activeCell="B52" sqref="B52"/>
    </sheetView>
    <sheetView tabSelected="1" workbookViewId="1">
      <selection activeCell="N45" sqref="N45"/>
    </sheetView>
  </sheetViews>
  <sheetFormatPr defaultRowHeight="16.5" x14ac:dyDescent="0.3"/>
  <cols>
    <col min="1" max="1" width="28.375" style="118" customWidth="1"/>
    <col min="2" max="3" width="21.625" style="118" customWidth="1"/>
    <col min="4" max="4" width="41.625" style="118" customWidth="1"/>
    <col min="5" max="5" width="58.375" customWidth="1"/>
  </cols>
  <sheetData>
    <row r="1" spans="1:7" ht="26.25" customHeight="1" x14ac:dyDescent="0.3">
      <c r="A1" s="165" t="s">
        <v>247</v>
      </c>
      <c r="B1" s="2"/>
      <c r="C1" s="2"/>
      <c r="D1" s="2"/>
      <c r="E1" s="2"/>
      <c r="F1" s="2"/>
      <c r="G1" s="2"/>
    </row>
    <row r="2" spans="1:7" x14ac:dyDescent="0.3">
      <c r="A2" s="164" t="s">
        <v>296</v>
      </c>
    </row>
    <row r="4" spans="1:7" ht="17.25" customHeight="1" x14ac:dyDescent="0.3">
      <c r="A4" s="82" t="s">
        <v>143</v>
      </c>
      <c r="B4" s="2"/>
      <c r="C4" s="2"/>
      <c r="D4" s="2"/>
    </row>
    <row r="5" spans="1:7" ht="17.25" customHeight="1" x14ac:dyDescent="0.3">
      <c r="A5" s="121" t="s">
        <v>264</v>
      </c>
      <c r="B5" s="158"/>
      <c r="C5" s="121" t="s">
        <v>265</v>
      </c>
      <c r="D5" s="158"/>
      <c r="E5" s="126" t="s">
        <v>266</v>
      </c>
    </row>
    <row r="6" spans="1:7" ht="17.25" customHeight="1" x14ac:dyDescent="0.3">
      <c r="A6" s="121" t="s">
        <v>267</v>
      </c>
      <c r="B6" s="158" t="s">
        <v>268</v>
      </c>
      <c r="C6" s="121" t="s">
        <v>145</v>
      </c>
      <c r="D6" s="158"/>
      <c r="E6" s="126" t="s">
        <v>269</v>
      </c>
    </row>
    <row r="7" spans="1:7" ht="17.25" customHeight="1" x14ac:dyDescent="0.3">
      <c r="A7" s="121" t="s">
        <v>270</v>
      </c>
      <c r="B7" s="158" t="s">
        <v>271</v>
      </c>
      <c r="C7" s="121" t="s">
        <v>272</v>
      </c>
      <c r="D7" s="158" t="s">
        <v>273</v>
      </c>
      <c r="E7" s="126" t="s">
        <v>274</v>
      </c>
    </row>
    <row r="8" spans="1:7" ht="17.25" customHeight="1" x14ac:dyDescent="0.3">
      <c r="A8" s="138" t="s">
        <v>275</v>
      </c>
      <c r="B8" s="158"/>
      <c r="C8" s="158"/>
      <c r="D8" s="158"/>
      <c r="E8" s="168" t="str">
        <f>IF(AND(B7="Y",D7="N"),"⚠ 유효기간이 있고 반품권이 없으므로 미소진 대책을 반드시 기입하세요.","")</f>
        <v>⚠ 유효기간이 있고 반품권이 없으므로 미소진 대책을 반드시 기입하세요.</v>
      </c>
    </row>
    <row r="9" spans="1:7" x14ac:dyDescent="0.3">
      <c r="A9" s="83" t="s">
        <v>144</v>
      </c>
      <c r="B9" s="84"/>
      <c r="C9" s="121" t="s">
        <v>147</v>
      </c>
      <c r="D9" s="158" t="s">
        <v>148</v>
      </c>
      <c r="E9" s="126" t="s">
        <v>276</v>
      </c>
    </row>
    <row r="10" spans="1:7" x14ac:dyDescent="0.3">
      <c r="A10" s="83" t="s">
        <v>146</v>
      </c>
      <c r="B10" s="85">
        <v>1000</v>
      </c>
      <c r="C10" s="83"/>
      <c r="D10" s="84"/>
      <c r="E10" s="126" t="s">
        <v>277</v>
      </c>
    </row>
    <row r="11" spans="1:7" x14ac:dyDescent="0.3">
      <c r="A11" s="83" t="s">
        <v>149</v>
      </c>
      <c r="B11" s="85">
        <v>50000</v>
      </c>
      <c r="C11" s="83" t="s">
        <v>150</v>
      </c>
      <c r="D11" s="86">
        <v>1</v>
      </c>
      <c r="E11" s="126" t="s">
        <v>278</v>
      </c>
    </row>
    <row r="12" spans="1:7" x14ac:dyDescent="0.3">
      <c r="A12" s="83" t="s">
        <v>151</v>
      </c>
      <c r="B12" s="85">
        <v>62000</v>
      </c>
      <c r="C12" s="83" t="s">
        <v>152</v>
      </c>
      <c r="D12" s="85">
        <v>6</v>
      </c>
      <c r="E12" s="126" t="s">
        <v>297</v>
      </c>
    </row>
    <row r="13" spans="1:7" x14ac:dyDescent="0.3">
      <c r="A13" s="83" t="s">
        <v>153</v>
      </c>
      <c r="B13" s="87">
        <v>0.08</v>
      </c>
      <c r="C13" s="83" t="s">
        <v>154</v>
      </c>
      <c r="D13" s="88">
        <v>0</v>
      </c>
      <c r="E13" s="126" t="s">
        <v>279</v>
      </c>
    </row>
    <row r="14" spans="1:7" x14ac:dyDescent="0.3">
      <c r="A14" s="83" t="s">
        <v>155</v>
      </c>
      <c r="B14" s="87">
        <v>0.85</v>
      </c>
      <c r="C14" s="83" t="s">
        <v>156</v>
      </c>
      <c r="D14" s="84" t="s">
        <v>157</v>
      </c>
      <c r="E14" s="126" t="s">
        <v>298</v>
      </c>
    </row>
    <row r="15" spans="1:7" x14ac:dyDescent="0.3">
      <c r="A15"/>
      <c r="B15"/>
      <c r="C15"/>
      <c r="D15"/>
    </row>
    <row r="16" spans="1:7" ht="17.25" customHeight="1" x14ac:dyDescent="0.3">
      <c r="A16" s="120" t="s">
        <v>248</v>
      </c>
      <c r="B16" s="2"/>
      <c r="C16" s="2"/>
      <c r="D16" s="2"/>
    </row>
    <row r="17" spans="1:4" x14ac:dyDescent="0.3">
      <c r="A17" s="128" t="s">
        <v>3</v>
      </c>
      <c r="B17" s="128" t="s">
        <v>240</v>
      </c>
      <c r="C17" s="128" t="s">
        <v>241</v>
      </c>
      <c r="D17" s="128" t="s">
        <v>242</v>
      </c>
    </row>
    <row r="18" spans="1:4" x14ac:dyDescent="0.3">
      <c r="A18" s="121" t="s">
        <v>249</v>
      </c>
      <c r="B18" s="160">
        <f>IF(B12&gt;0,(B12-(B11*D11))/B12*100,0)</f>
        <v>19.35483870967742</v>
      </c>
      <c r="C18" s="121" t="str">
        <f>IF(B18&gt;=11,"✅ PASS","❌ FAIL")</f>
        <v>✅ PASS</v>
      </c>
      <c r="D18" s="122" t="s">
        <v>299</v>
      </c>
    </row>
    <row r="19" spans="1:4" x14ac:dyDescent="0.3">
      <c r="A19" s="133" t="s">
        <v>250</v>
      </c>
      <c r="B19" s="166">
        <f>B18-B13*100-11</f>
        <v>0.35483870967741993</v>
      </c>
      <c r="C19" s="133" t="str">
        <f>IF(B19&gt;=0,"✅ 사입 우위 (+"&amp;TEXT(B19,"0.0")&amp;"%p)","⚠ 연동이 나을 수 있음 ("&amp;TEXT(B19,"0.0")&amp;"%p)")</f>
        <v>✅ 사입 우위 (+0.4%p)</v>
      </c>
      <c r="D19" s="136" t="s">
        <v>300</v>
      </c>
    </row>
    <row r="20" spans="1:4" x14ac:dyDescent="0.3">
      <c r="A20"/>
      <c r="B20"/>
      <c r="C20"/>
      <c r="D20"/>
    </row>
    <row r="21" spans="1:4" x14ac:dyDescent="0.3">
      <c r="A21" s="154" t="s">
        <v>231</v>
      </c>
      <c r="B21"/>
      <c r="C21"/>
      <c r="D21"/>
    </row>
    <row r="22" spans="1:4" x14ac:dyDescent="0.3">
      <c r="A22" s="155" t="s">
        <v>301</v>
      </c>
      <c r="B22" s="156" t="s">
        <v>302</v>
      </c>
      <c r="C22"/>
      <c r="D22"/>
    </row>
    <row r="23" spans="1:4" x14ac:dyDescent="0.3">
      <c r="A23" s="155" t="s">
        <v>245</v>
      </c>
      <c r="B23" s="156" t="s">
        <v>252</v>
      </c>
      <c r="C23"/>
      <c r="D23"/>
    </row>
    <row r="24" spans="1:4" x14ac:dyDescent="0.3">
      <c r="A24" s="157" t="s">
        <v>233</v>
      </c>
      <c r="B24" s="126" t="s">
        <v>303</v>
      </c>
      <c r="C24"/>
      <c r="D24"/>
    </row>
    <row r="25" spans="1:4" x14ac:dyDescent="0.3">
      <c r="A25" s="124" t="s">
        <v>253</v>
      </c>
      <c r="B25" s="124" t="str">
        <f>IF(B18&lt;11,"❌ 부적합 (팔수록 손해)",IF(B19&lt;0,"⚠ 조건부 적합 (연동 대비 우위 불확실)","✅ 적합 (2차 검토 진행)"))</f>
        <v>✅ 적합 (2차 검토 진행)</v>
      </c>
      <c r="C25" s="125" t="str">
        <f>IF(B18&lt;11,"→ 사입 대신 연동/중개 판매 권고",IF(B19&lt;0,"→ 부가세 불공제 고려 시 연동이 나을 수 있음","→ 재고부담 리스크 검토 필요"))</f>
        <v>→ 재고부담 리스크 검토 필요</v>
      </c>
      <c r="D25" s="63"/>
    </row>
    <row r="26" spans="1:4" x14ac:dyDescent="0.3">
      <c r="A26" s="126" t="s">
        <v>234</v>
      </c>
      <c r="B26"/>
      <c r="C26"/>
      <c r="D26"/>
    </row>
    <row r="27" spans="1:4" x14ac:dyDescent="0.3">
      <c r="A27"/>
      <c r="B27"/>
      <c r="C27"/>
      <c r="D27"/>
    </row>
    <row r="28" spans="1:4" ht="17.25" x14ac:dyDescent="0.3">
      <c r="A28" s="167" t="s">
        <v>254</v>
      </c>
      <c r="B28" s="2"/>
      <c r="C28" s="2"/>
      <c r="D28" s="2"/>
    </row>
    <row r="29" spans="1:4" x14ac:dyDescent="0.3">
      <c r="A29" s="128" t="s">
        <v>3</v>
      </c>
      <c r="B29" s="128" t="s">
        <v>158</v>
      </c>
      <c r="C29" s="128" t="s">
        <v>159</v>
      </c>
      <c r="D29" s="128" t="s">
        <v>10</v>
      </c>
    </row>
    <row r="30" spans="1:4" x14ac:dyDescent="0.3">
      <c r="A30" s="121" t="s">
        <v>160</v>
      </c>
      <c r="B30" s="130">
        <f>B10*B11*D11</f>
        <v>50000000</v>
      </c>
      <c r="C30"/>
      <c r="D30" s="89"/>
    </row>
    <row r="31" spans="1:4" x14ac:dyDescent="0.3">
      <c r="A31" s="123" t="s">
        <v>161</v>
      </c>
      <c r="B31" s="123" t="str">
        <f>IF(B6="신규사입",IF(B30&lt;=20000000,"간편법 (담당자 전결)",IF(B30&lt;=100000000,"원칙 (실장 전결)","원칙 (CFO 전결)")),IF(B30&lt;=50000000,"간편법 (담당자 전결)",IF(B30&lt;=100000000,"원칙 (실장 전결)","원칙 (CFO 전결)")))</f>
        <v>원칙 (실장 전결)</v>
      </c>
      <c r="C31" s="125" t="str">
        <f>IF(B6="신규사입",IF(B30&lt;=20000000,"사입재고 담당자",IF(B30&lt;=100000000,"재무관리실장","CFO")),IF(B30&lt;=50000000,"사입재고 담당자",IF(B30&lt;=100000000,"재무관리실장","CFO")))</f>
        <v>재무관리실장</v>
      </c>
      <c r="D31" s="131" t="s">
        <v>162</v>
      </c>
    </row>
    <row r="32" spans="1:4" x14ac:dyDescent="0.3">
      <c r="A32" s="121" t="s">
        <v>163</v>
      </c>
      <c r="B32" s="130">
        <f>B12-(B11*D11)</f>
        <v>12000</v>
      </c>
      <c r="C32"/>
      <c r="D32" s="89"/>
    </row>
    <row r="33" spans="1:4" x14ac:dyDescent="0.3">
      <c r="A33" s="121" t="s">
        <v>164</v>
      </c>
      <c r="B33" s="132">
        <f>IF(B12&gt;0,(B12-(B11*D11))/B12,0)</f>
        <v>0.19354838709677419</v>
      </c>
      <c r="C33" s="129" t="str">
        <f>IF(B33&gt;=0.15,"✅ 양호",IF(B33&gt;=0.1,"⚠ 보통","⚠ 주의"))</f>
        <v>✅ 양호</v>
      </c>
      <c r="D33" s="122" t="s">
        <v>165</v>
      </c>
    </row>
    <row r="34" spans="1:4" ht="17.25" customHeight="1" x14ac:dyDescent="0.3">
      <c r="A34" s="121" t="s">
        <v>255</v>
      </c>
      <c r="B34" s="132">
        <f>B33-B13-11%</f>
        <v>3.548387096774186E-3</v>
      </c>
      <c r="C34" s="129" t="str">
        <f>IF(B34&gt;0,"✅ 직매입 유리","⚠ 중개가 나음")</f>
        <v>✅ 직매입 유리</v>
      </c>
      <c r="D34" s="122" t="s">
        <v>246</v>
      </c>
    </row>
    <row r="35" spans="1:4" x14ac:dyDescent="0.3">
      <c r="A35" s="133" t="s">
        <v>166</v>
      </c>
      <c r="B35" s="135">
        <f>IF(B12&gt;0,ROUNDUP(B30/B12,0),0)</f>
        <v>807</v>
      </c>
      <c r="C35"/>
      <c r="D35" s="136" t="s">
        <v>167</v>
      </c>
    </row>
    <row r="36" spans="1:4" x14ac:dyDescent="0.3">
      <c r="A36" s="133" t="s">
        <v>168</v>
      </c>
      <c r="B36" s="137">
        <f>IF(B10&gt;0,B35/B10,0)</f>
        <v>0.80700000000000005</v>
      </c>
      <c r="C36" s="134" t="str">
        <f>IF(B36&lt;=0.7,"✅ 양호",IF(B36&lt;=0.85,"⚠ 보통","⚠ 주의"))</f>
        <v>⚠ 보통</v>
      </c>
      <c r="D36" s="136" t="s">
        <v>169</v>
      </c>
    </row>
    <row r="37" spans="1:4" x14ac:dyDescent="0.3">
      <c r="A37" s="138" t="s">
        <v>170</v>
      </c>
      <c r="B37" s="140">
        <f>B30*(1-D13)</f>
        <v>50000000</v>
      </c>
      <c r="C37" s="139" t="str">
        <f>IF(D13&gt;=1,"✅ 전액 환불",IF(D13&gt;=0.5,"⚠ 부분 환불","⚠ 환불 불가"))</f>
        <v>⚠ 환불 불가</v>
      </c>
      <c r="D37" s="141" t="s">
        <v>171</v>
      </c>
    </row>
    <row r="38" spans="1:4" x14ac:dyDescent="0.3">
      <c r="A38"/>
      <c r="B38"/>
      <c r="C38"/>
      <c r="D38"/>
    </row>
    <row r="39" spans="1:4" x14ac:dyDescent="0.3">
      <c r="A39" s="128" t="s">
        <v>172</v>
      </c>
      <c r="B39" s="128" t="s">
        <v>173</v>
      </c>
      <c r="C39" s="128" t="s">
        <v>174</v>
      </c>
      <c r="D39" s="128" t="s">
        <v>175</v>
      </c>
    </row>
    <row r="40" spans="1:4" x14ac:dyDescent="0.3">
      <c r="A40" s="142" t="s">
        <v>176</v>
      </c>
      <c r="B40" s="143">
        <f>B10</f>
        <v>1000</v>
      </c>
      <c r="C40" s="143">
        <f>B40*B12-B30</f>
        <v>12000000</v>
      </c>
      <c r="D40" s="144">
        <f>IF(B30&gt;0,C40/B30,0)</f>
        <v>0.24</v>
      </c>
    </row>
    <row r="41" spans="1:4" x14ac:dyDescent="0.3">
      <c r="A41" s="145" t="s">
        <v>177</v>
      </c>
      <c r="B41" s="147">
        <f>ROUND(B10*B14,0)</f>
        <v>850</v>
      </c>
      <c r="C41" s="147">
        <f>B41*B12-B30</f>
        <v>2700000</v>
      </c>
      <c r="D41" s="148">
        <f>IF(B30&gt;0,C41/B30,0)</f>
        <v>5.3999999999999999E-2</v>
      </c>
    </row>
    <row r="42" spans="1:4" x14ac:dyDescent="0.3">
      <c r="A42" s="138" t="s">
        <v>178</v>
      </c>
      <c r="B42" s="140">
        <f>ROUND(B10*0.5,0)</f>
        <v>500</v>
      </c>
      <c r="C42" s="140">
        <f>B42*B12-B30</f>
        <v>-19000000</v>
      </c>
      <c r="D42" s="149">
        <f>IF(B30&gt;0,C42/B30,0)</f>
        <v>-0.38</v>
      </c>
    </row>
    <row r="43" spans="1:4" x14ac:dyDescent="0.3">
      <c r="A43" s="150" t="s">
        <v>179</v>
      </c>
      <c r="B43" s="151">
        <f>ROUND(B10*0.5,0)</f>
        <v>500</v>
      </c>
      <c r="C43" s="151">
        <f>B43*B12-B30+(B10-B43)*B11*D11*D13</f>
        <v>-19000000</v>
      </c>
      <c r="D43" s="152">
        <f>IF(B30&gt;0,C43/B30,0)</f>
        <v>-0.38</v>
      </c>
    </row>
    <row r="44" spans="1:4" x14ac:dyDescent="0.3">
      <c r="A44"/>
      <c r="B44"/>
      <c r="C44"/>
      <c r="D44"/>
    </row>
    <row r="45" spans="1:4" x14ac:dyDescent="0.3">
      <c r="A45" s="153" t="s">
        <v>235</v>
      </c>
      <c r="B45"/>
      <c r="C45"/>
      <c r="D45"/>
    </row>
    <row r="46" spans="1:4" x14ac:dyDescent="0.3">
      <c r="A46" s="121" t="s">
        <v>152</v>
      </c>
      <c r="B46" s="158">
        <v>6</v>
      </c>
      <c r="C46" s="122" t="s">
        <v>236</v>
      </c>
      <c r="D46" s="89"/>
    </row>
    <row r="47" spans="1:4" x14ac:dyDescent="0.3">
      <c r="A47" s="121" t="s">
        <v>237</v>
      </c>
      <c r="B47" s="158">
        <v>0</v>
      </c>
      <c r="C47" s="122" t="s">
        <v>256</v>
      </c>
      <c r="D47" s="89"/>
    </row>
    <row r="48" spans="1:4" x14ac:dyDescent="0.3">
      <c r="A48" s="121" t="s">
        <v>180</v>
      </c>
      <c r="B48" s="130">
        <f>IF(B46&gt;0,ROUND(B10/B46,0),0)</f>
        <v>167</v>
      </c>
      <c r="C48" s="129" t="s">
        <v>181</v>
      </c>
      <c r="D48" s="122" t="s">
        <v>257</v>
      </c>
    </row>
    <row r="49" spans="1:5" x14ac:dyDescent="0.3">
      <c r="A49" s="145" t="s">
        <v>238</v>
      </c>
      <c r="B49" s="147">
        <f>ROUND(B10*0.7,0)</f>
        <v>700</v>
      </c>
      <c r="C49" s="146" t="str">
        <f>"구매수량의 70% = "&amp;TEXT(B49,"#,##0")&amp;"개"</f>
        <v>구매수량의 70% = 700개</v>
      </c>
      <c r="D49" s="159" t="s">
        <v>258</v>
      </c>
    </row>
    <row r="50" spans="1:5" x14ac:dyDescent="0.3">
      <c r="A50" s="123" t="s">
        <v>239</v>
      </c>
      <c r="B50" s="123" t="str">
        <f>IF(B47=0,"ℹ 판매 전 (초기 검토)",IF(B47&gt;=B49,"✅ 목표 달성","❌ 미달성 ("&amp;TEXT(B49-B47,"#,##0")&amp;"개 부족)"))</f>
        <v>ℹ 판매 전 (초기 검토)</v>
      </c>
      <c r="C50" s="125" t="str">
        <f>IF(B47=0,"",IF(B47&gt;=B49,"","→ 판매 촉진 또는 재고 처분 검토 필요"))</f>
        <v/>
      </c>
      <c r="D50" s="161" t="s">
        <v>259</v>
      </c>
    </row>
    <row r="51" spans="1:5" x14ac:dyDescent="0.3">
      <c r="A51"/>
      <c r="B51"/>
      <c r="C51"/>
      <c r="D51"/>
    </row>
    <row r="52" spans="1:5" x14ac:dyDescent="0.3">
      <c r="A52" s="124" t="s">
        <v>260</v>
      </c>
      <c r="B52" s="124" t="str">
        <f>IF(B46&lt;3,"⚠ 조건부 적합 (유효기간 부족)",IF(AND(B47&gt;0,B47&lt;B49),"⚠ 주의 (판매 소진 목표 미달성)","✅ 적합 (재고 리스크 관리 가능)"))</f>
        <v>✅ 적합 (재고 리스크 관리 가능)</v>
      </c>
      <c r="C52" s="125" t="str">
        <f>IF(B46&lt;3,"→ 유효기간 확보 후 재검토 필요",IF(AND(B47&gt;0,B47&lt;B49),"→ 판매 촉진 또는 재고 처분 검토 필요","→ 재고 리스크 수용 가능"))</f>
        <v>→ 재고 리스크 수용 가능</v>
      </c>
      <c r="D52" s="63"/>
    </row>
    <row r="53" spans="1:5" x14ac:dyDescent="0.3">
      <c r="A53"/>
      <c r="B53"/>
      <c r="C53"/>
      <c r="D53"/>
    </row>
    <row r="54" spans="1:5" ht="17.25" x14ac:dyDescent="0.3">
      <c r="A54" s="127" t="s">
        <v>261</v>
      </c>
      <c r="B54" s="2"/>
      <c r="C54" s="2"/>
      <c r="D54" s="2"/>
    </row>
    <row r="55" spans="1:5" x14ac:dyDescent="0.3">
      <c r="A55" s="121" t="s">
        <v>262</v>
      </c>
      <c r="B55" s="121" t="str">
        <f>B25</f>
        <v>✅ 적합 (2차 검토 진행)</v>
      </c>
      <c r="C55" s="121" t="s">
        <v>263</v>
      </c>
      <c r="D55" s="121" t="str">
        <f>B52</f>
        <v>✅ 적합 (재고 리스크 관리 가능)</v>
      </c>
    </row>
    <row r="56" spans="1:5" ht="17.25" x14ac:dyDescent="0.3">
      <c r="A56" s="162" t="s">
        <v>244</v>
      </c>
      <c r="B56" s="162" t="str">
        <f>IF(B18&lt;11,"❌ 사입 부적합 (부가세 불공제: 팔수록 손해)",IF(B19&lt;0,"⚠ 조건부 적합 (사입마진은 있으나 연동 대비 우위 불확실)",IF(B46&lt;3,"⚠ 조건부 적합 (유효기간 부족)",IF(AND(B47&gt;0,B47&lt;B49),"⚠ 주의 (판매 소진 목표 미달성)","✅ 사입 적합"))))</f>
        <v>✅ 사입 적합</v>
      </c>
      <c r="C56" s="163"/>
      <c r="D56" s="163"/>
    </row>
    <row r="57" spans="1:5" x14ac:dyDescent="0.3">
      <c r="A57"/>
      <c r="B57" s="164" t="str">
        <f>IF(B18&lt;11,"→ 사입 대신 연동/중개 판매 권고",IF(B19&lt;0,"→ 부가세 불공제 고려 시 연동이 나을 수 있음",IF(B46&lt;3,"→ 유효기간 확보 후 재검토 필요",IF(AND(B47&gt;0,B47&lt;B49),"→ 판매 촉진 또는 재고 처분 검토 필요","→ 사입 진행 가능"))))</f>
        <v>→ 사입 진행 가능</v>
      </c>
      <c r="C57"/>
      <c r="D57"/>
    </row>
    <row r="58" spans="1:5" x14ac:dyDescent="0.3">
      <c r="A58"/>
      <c r="B58"/>
      <c r="C58"/>
      <c r="D58"/>
    </row>
    <row r="59" spans="1:5" ht="17.25" x14ac:dyDescent="0.3">
      <c r="A59" s="127" t="s">
        <v>280</v>
      </c>
      <c r="B59" s="2"/>
      <c r="C59" s="2"/>
      <c r="D59" s="2"/>
      <c r="E59" s="2"/>
    </row>
    <row r="60" spans="1:5" x14ac:dyDescent="0.3">
      <c r="A60" s="138" t="s">
        <v>281</v>
      </c>
      <c r="B60" s="158"/>
      <c r="C60"/>
      <c r="D60"/>
      <c r="E60" s="168" t="str">
        <f>IF(OR(LEFT(B56,1)="❌",LEFT(B56,1)="⚠"),"⚠ 사업성 검토 결과 부적합/조건부 판정입니다. 사입을 진행하려면 정성적 사유를 반드시 기술하세요.","")</f>
        <v/>
      </c>
    </row>
    <row r="61" spans="1:5" x14ac:dyDescent="0.3">
      <c r="A61" s="169"/>
      <c r="B61" s="169"/>
      <c r="C61" s="169"/>
      <c r="D61" s="169"/>
      <c r="E61" s="169"/>
    </row>
    <row r="62" spans="1:5" x14ac:dyDescent="0.3">
      <c r="A62" s="126" t="s">
        <v>282</v>
      </c>
      <c r="B62"/>
      <c r="C62"/>
      <c r="D62"/>
    </row>
    <row r="63" spans="1:5" x14ac:dyDescent="0.3">
      <c r="A63"/>
      <c r="B63"/>
      <c r="C63"/>
      <c r="D63"/>
    </row>
    <row r="64" spans="1:5" x14ac:dyDescent="0.3">
      <c r="A64"/>
      <c r="B64"/>
      <c r="C64"/>
      <c r="D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0F27-21AC-44A5-B6A4-6F3BA10D4129}">
  <dimension ref="A1:E31"/>
  <sheetViews>
    <sheetView workbookViewId="0">
      <selection activeCell="E10" sqref="E10"/>
    </sheetView>
    <sheetView workbookViewId="1"/>
  </sheetViews>
  <sheetFormatPr defaultRowHeight="16.5" x14ac:dyDescent="0.3"/>
  <cols>
    <col min="1" max="1" width="31.625" customWidth="1"/>
    <col min="2" max="2" width="14.5" customWidth="1"/>
    <col min="3" max="3" width="20.375" bestFit="1" customWidth="1"/>
    <col min="4" max="4" width="21.5" customWidth="1"/>
    <col min="5" max="5" width="58.375" customWidth="1"/>
  </cols>
  <sheetData>
    <row r="1" spans="1:5" ht="26.25" x14ac:dyDescent="0.3">
      <c r="A1" s="165" t="s">
        <v>283</v>
      </c>
      <c r="B1" s="2"/>
      <c r="C1" s="2"/>
      <c r="D1" s="2"/>
      <c r="E1" s="2"/>
    </row>
    <row r="2" spans="1:5" x14ac:dyDescent="0.3">
      <c r="A2" s="164" t="s">
        <v>284</v>
      </c>
    </row>
    <row r="4" spans="1:5" ht="17.25" x14ac:dyDescent="0.3">
      <c r="A4" s="127" t="s">
        <v>143</v>
      </c>
      <c r="B4" s="2"/>
      <c r="C4" s="2"/>
      <c r="D4" s="2"/>
      <c r="E4" s="2"/>
    </row>
    <row r="5" spans="1:5" x14ac:dyDescent="0.3">
      <c r="A5" s="121" t="s">
        <v>264</v>
      </c>
      <c r="B5" s="158"/>
      <c r="C5" s="121" t="s">
        <v>265</v>
      </c>
      <c r="D5" s="158"/>
      <c r="E5" s="126" t="s">
        <v>266</v>
      </c>
    </row>
    <row r="6" spans="1:5" x14ac:dyDescent="0.3">
      <c r="A6" s="121" t="s">
        <v>267</v>
      </c>
      <c r="B6" s="158" t="s">
        <v>268</v>
      </c>
      <c r="C6" s="121" t="s">
        <v>145</v>
      </c>
      <c r="D6" s="158"/>
      <c r="E6" s="126" t="s">
        <v>285</v>
      </c>
    </row>
    <row r="7" spans="1:5" x14ac:dyDescent="0.3">
      <c r="A7" s="121" t="s">
        <v>270</v>
      </c>
      <c r="B7" s="158" t="s">
        <v>271</v>
      </c>
      <c r="C7" s="121" t="s">
        <v>272</v>
      </c>
      <c r="D7" s="158" t="s">
        <v>273</v>
      </c>
      <c r="E7" s="126" t="s">
        <v>274</v>
      </c>
    </row>
    <row r="8" spans="1:5" x14ac:dyDescent="0.3">
      <c r="A8" s="138" t="s">
        <v>275</v>
      </c>
      <c r="B8" s="158"/>
      <c r="E8" s="168" t="str">
        <f>IF(AND(B7="Y",D7="N"),"⚠ 유효기간이 있고 반품권이 없으므로 미소진 대책을 반드시 기입하세요.","")</f>
        <v>⚠ 유효기간이 있고 반품권이 없으므로 미소진 대책을 반드시 기입하세요.</v>
      </c>
    </row>
    <row r="9" spans="1:5" x14ac:dyDescent="0.3">
      <c r="A9" s="121" t="s">
        <v>144</v>
      </c>
      <c r="B9" s="158"/>
      <c r="E9" s="126" t="s">
        <v>276</v>
      </c>
    </row>
    <row r="10" spans="1:5" x14ac:dyDescent="0.3">
      <c r="A10" s="121" t="s">
        <v>146</v>
      </c>
      <c r="B10" s="158">
        <v>1000</v>
      </c>
      <c r="C10" s="121" t="s">
        <v>147</v>
      </c>
      <c r="D10" s="158" t="s">
        <v>148</v>
      </c>
      <c r="E10" s="126" t="s">
        <v>277</v>
      </c>
    </row>
    <row r="11" spans="1:5" x14ac:dyDescent="0.3">
      <c r="A11" s="121" t="s">
        <v>149</v>
      </c>
      <c r="B11" s="158">
        <v>50000</v>
      </c>
      <c r="C11" s="121" t="s">
        <v>150</v>
      </c>
      <c r="D11" s="158">
        <v>1</v>
      </c>
      <c r="E11" s="126" t="s">
        <v>286</v>
      </c>
    </row>
    <row r="12" spans="1:5" x14ac:dyDescent="0.3">
      <c r="A12" s="121" t="s">
        <v>151</v>
      </c>
      <c r="B12" s="158">
        <v>62000</v>
      </c>
      <c r="E12" s="126" t="s">
        <v>287</v>
      </c>
    </row>
    <row r="13" spans="1:5" x14ac:dyDescent="0.3">
      <c r="A13" s="121" t="s">
        <v>153</v>
      </c>
      <c r="B13" s="158">
        <v>0.08</v>
      </c>
      <c r="E13" s="126" t="s">
        <v>288</v>
      </c>
    </row>
    <row r="14" spans="1:5" x14ac:dyDescent="0.3">
      <c r="A14" s="123" t="s">
        <v>289</v>
      </c>
      <c r="B14" s="170">
        <f>B10*B11*D11</f>
        <v>50000000</v>
      </c>
      <c r="C14" s="123" t="s">
        <v>40</v>
      </c>
      <c r="D14" s="125" t="str">
        <f>IF(B6="신규사입",IF(B14&lt;=20000000,"사입재고 담당자","⚠ 간편법 범위 초과"),IF(B14&lt;=50000000,"사입재고 담당자","⚠ 간편법 범위 초과"))</f>
        <v>⚠ 간편법 범위 초과</v>
      </c>
      <c r="E14" s="168" t="str">
        <f>IF(OR(AND(B6="신규사입",B14&gt;20000000),AND(B6="재사입",B14&gt;50000000)),"⚠ 간편법 적용 범위를 초과합니다. 원칙(③ 시뮬레이터)을 사용하세요.","")</f>
        <v>⚠ 간편법 적용 범위를 초과합니다. 원칙(③ 시뮬레이터)을 사용하세요.</v>
      </c>
    </row>
    <row r="16" spans="1:5" ht="17.25" x14ac:dyDescent="0.3">
      <c r="A16" s="120" t="s">
        <v>248</v>
      </c>
      <c r="B16" s="2"/>
      <c r="C16" s="2"/>
      <c r="D16" s="2"/>
    </row>
    <row r="17" spans="1:5" x14ac:dyDescent="0.3">
      <c r="A17" s="128" t="s">
        <v>3</v>
      </c>
      <c r="B17" s="128" t="s">
        <v>240</v>
      </c>
      <c r="C17" s="128" t="s">
        <v>241</v>
      </c>
      <c r="D17" s="128" t="s">
        <v>242</v>
      </c>
    </row>
    <row r="18" spans="1:5" x14ac:dyDescent="0.3">
      <c r="A18" s="121" t="s">
        <v>249</v>
      </c>
      <c r="B18" s="160">
        <f>IF(B12&gt;0,(B12-(B11*D11))/B12*100,0)</f>
        <v>19.35483870967742</v>
      </c>
      <c r="C18" s="121" t="str">
        <f>IF(B18&gt;=11,"✅ PASS","❌ FAIL")</f>
        <v>✅ PASS</v>
      </c>
      <c r="D18" s="122" t="s">
        <v>243</v>
      </c>
    </row>
    <row r="19" spans="1:5" x14ac:dyDescent="0.3">
      <c r="A19" s="133" t="s">
        <v>250</v>
      </c>
      <c r="B19" s="166">
        <f>B18-B13*100-11</f>
        <v>0.35483870967741993</v>
      </c>
      <c r="C19" s="133" t="str">
        <f>IF(B19&gt;=0,"✅ 사입 우위 (+"&amp;TEXT(B19,"0.0")&amp;"%p)","⚠ 연동이 나을 수 있음 ("&amp;TEXT(B19,"0.0")&amp;"%p)")</f>
        <v>✅ 사입 우위 (+0.4%p)</v>
      </c>
      <c r="D19" s="136" t="s">
        <v>251</v>
      </c>
    </row>
    <row r="21" spans="1:5" x14ac:dyDescent="0.3">
      <c r="A21" s="154" t="s">
        <v>231</v>
      </c>
    </row>
    <row r="22" spans="1:5" x14ac:dyDescent="0.3">
      <c r="A22" s="155" t="s">
        <v>232</v>
      </c>
      <c r="B22" s="156" t="s">
        <v>290</v>
      </c>
    </row>
    <row r="23" spans="1:5" x14ac:dyDescent="0.3">
      <c r="A23" s="155" t="s">
        <v>245</v>
      </c>
      <c r="B23" s="156" t="s">
        <v>291</v>
      </c>
    </row>
    <row r="24" spans="1:5" x14ac:dyDescent="0.3">
      <c r="A24" s="157" t="s">
        <v>233</v>
      </c>
      <c r="B24" s="126" t="s">
        <v>292</v>
      </c>
    </row>
    <row r="25" spans="1:5" x14ac:dyDescent="0.3">
      <c r="A25" s="124" t="s">
        <v>293</v>
      </c>
      <c r="B25" s="124" t="str">
        <f>IF(B18&lt;11,"❌ 부적합 (팔수록 손해)",IF(B19&lt;0,"⚠ 조건부 적합 (연동 대비 우위 불확실)","✅ 사입 적합"))</f>
        <v>✅ 사입 적합</v>
      </c>
      <c r="C25" s="125" t="str">
        <f>IF(B18&lt;11,"→ 사입 대신 연동/중개 판매 권고",IF(B19&lt;0,"→ 부가세 불공제 고려 시 연동이 나을 수 있음","→ 사입 진행 가능"))</f>
        <v>→ 사입 진행 가능</v>
      </c>
      <c r="D25" s="63"/>
    </row>
    <row r="26" spans="1:5" x14ac:dyDescent="0.3">
      <c r="A26" s="126" t="s">
        <v>294</v>
      </c>
    </row>
    <row r="28" spans="1:5" ht="17.25" x14ac:dyDescent="0.3">
      <c r="A28" s="127" t="s">
        <v>280</v>
      </c>
      <c r="B28" s="2"/>
      <c r="C28" s="2"/>
      <c r="D28" s="2"/>
      <c r="E28" s="2"/>
    </row>
    <row r="29" spans="1:5" x14ac:dyDescent="0.3">
      <c r="A29" s="138" t="s">
        <v>281</v>
      </c>
      <c r="B29" s="158"/>
      <c r="E29" s="168" t="str">
        <f>IF(OR(LEFT(B25,1)="❌",LEFT(B25,1)="⚠"),"⚠ 부적합/조건부 판정입니다. 사입 진행 시 정성적 사유를 반드시 기술하세요.","")</f>
        <v/>
      </c>
    </row>
    <row r="30" spans="1:5" x14ac:dyDescent="0.3">
      <c r="A30" s="169"/>
      <c r="B30" s="169"/>
      <c r="C30" s="169"/>
      <c r="D30" s="169"/>
      <c r="E30" s="169"/>
    </row>
    <row r="31" spans="1:5" x14ac:dyDescent="0.3">
      <c r="A31" s="126" t="s">
        <v>295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topLeftCell="A12" workbookViewId="0">
      <selection activeCell="C21" sqref="C21"/>
    </sheetView>
    <sheetView workbookViewId="1"/>
  </sheetViews>
  <sheetFormatPr defaultRowHeight="16.5" x14ac:dyDescent="0.3"/>
  <cols>
    <col min="1" max="1" width="33.375" style="118" customWidth="1"/>
    <col min="2" max="6" width="16.625" style="118" customWidth="1"/>
    <col min="7" max="8" width="20" style="118" customWidth="1"/>
  </cols>
  <sheetData>
    <row r="1" spans="1:8" ht="26.25" customHeight="1" x14ac:dyDescent="0.3">
      <c r="A1" s="1" t="s">
        <v>182</v>
      </c>
      <c r="B1" s="2"/>
      <c r="C1" s="2"/>
      <c r="D1" s="2"/>
      <c r="E1" s="2"/>
      <c r="F1" s="2"/>
      <c r="G1" s="2"/>
      <c r="H1" s="2"/>
    </row>
    <row r="3" spans="1:8" ht="17.25" customHeight="1" x14ac:dyDescent="0.3">
      <c r="A3" s="4" t="s">
        <v>183</v>
      </c>
    </row>
    <row r="5" spans="1:8" x14ac:dyDescent="0.3">
      <c r="A5" s="5" t="s">
        <v>4</v>
      </c>
      <c r="B5" s="5" t="s">
        <v>184</v>
      </c>
      <c r="C5" s="5" t="s">
        <v>185</v>
      </c>
      <c r="D5" s="5" t="s">
        <v>186</v>
      </c>
      <c r="E5" s="5" t="s">
        <v>187</v>
      </c>
      <c r="F5" s="5" t="s">
        <v>188</v>
      </c>
      <c r="G5" s="5" t="s">
        <v>189</v>
      </c>
      <c r="H5" s="5" t="s">
        <v>40</v>
      </c>
    </row>
    <row r="6" spans="1:8" x14ac:dyDescent="0.3">
      <c r="A6" s="11" t="s">
        <v>190</v>
      </c>
      <c r="B6" s="90">
        <v>62</v>
      </c>
      <c r="C6" s="13">
        <v>5.2999999999999999E-2</v>
      </c>
      <c r="D6" s="13">
        <v>5.2999999999999999E-2</v>
      </c>
      <c r="E6" s="91">
        <v>0.3</v>
      </c>
      <c r="F6" s="13">
        <v>0</v>
      </c>
      <c r="G6" s="10" t="s">
        <v>11</v>
      </c>
      <c r="H6" s="11" t="s">
        <v>13</v>
      </c>
    </row>
    <row r="7" spans="1:8" x14ac:dyDescent="0.3">
      <c r="A7" s="11" t="s">
        <v>191</v>
      </c>
      <c r="B7" s="90">
        <v>273</v>
      </c>
      <c r="C7" s="13">
        <v>0.23400000000000001</v>
      </c>
      <c r="D7" s="13">
        <v>0.28699999999999998</v>
      </c>
      <c r="E7" s="91">
        <v>7.5</v>
      </c>
      <c r="F7" s="13">
        <v>1.2E-2</v>
      </c>
      <c r="G7" s="10" t="s">
        <v>11</v>
      </c>
      <c r="H7" s="11" t="s">
        <v>13</v>
      </c>
    </row>
    <row r="8" spans="1:8" x14ac:dyDescent="0.3">
      <c r="A8" s="11" t="s">
        <v>192</v>
      </c>
      <c r="B8" s="90">
        <v>507</v>
      </c>
      <c r="C8" s="13">
        <v>0.434</v>
      </c>
      <c r="D8" s="13">
        <v>0.72199999999999998</v>
      </c>
      <c r="E8" s="91">
        <v>91.7</v>
      </c>
      <c r="F8" s="13">
        <v>0.14099999999999999</v>
      </c>
      <c r="G8" s="10" t="s">
        <v>11</v>
      </c>
      <c r="H8" s="11" t="s">
        <v>13</v>
      </c>
    </row>
    <row r="9" spans="1:8" x14ac:dyDescent="0.3">
      <c r="A9" s="19" t="s">
        <v>193</v>
      </c>
      <c r="B9" s="92">
        <v>126</v>
      </c>
      <c r="C9" s="21">
        <v>0.108</v>
      </c>
      <c r="D9" s="21">
        <v>0.83</v>
      </c>
      <c r="E9" s="93">
        <v>89.2</v>
      </c>
      <c r="F9" s="21">
        <v>0.13800000000000001</v>
      </c>
      <c r="G9" s="18" t="s">
        <v>17</v>
      </c>
      <c r="H9" s="113" t="s">
        <v>13</v>
      </c>
    </row>
    <row r="10" spans="1:8" x14ac:dyDescent="0.3">
      <c r="A10" s="25" t="s">
        <v>194</v>
      </c>
      <c r="B10" s="94">
        <v>176</v>
      </c>
      <c r="C10" s="27">
        <v>0.151</v>
      </c>
      <c r="D10" s="27">
        <v>0.98</v>
      </c>
      <c r="E10" s="95">
        <v>332</v>
      </c>
      <c r="F10" s="27">
        <v>0.51200000000000001</v>
      </c>
      <c r="G10" s="24" t="s">
        <v>195</v>
      </c>
      <c r="H10" s="96" t="s">
        <v>24</v>
      </c>
    </row>
    <row r="11" spans="1:8" x14ac:dyDescent="0.3">
      <c r="A11" s="33" t="s">
        <v>196</v>
      </c>
      <c r="B11" s="97">
        <v>15</v>
      </c>
      <c r="C11" s="35">
        <v>1.2999999999999999E-2</v>
      </c>
      <c r="D11" s="35">
        <v>0.99299999999999999</v>
      </c>
      <c r="E11" s="98">
        <v>56.1</v>
      </c>
      <c r="F11" s="35">
        <v>8.5999999999999993E-2</v>
      </c>
      <c r="G11" s="32" t="s">
        <v>28</v>
      </c>
      <c r="H11" s="36" t="s">
        <v>24</v>
      </c>
    </row>
    <row r="12" spans="1:8" x14ac:dyDescent="0.3">
      <c r="A12" s="114" t="s">
        <v>34</v>
      </c>
      <c r="B12" s="115">
        <v>8</v>
      </c>
      <c r="C12" s="116">
        <v>7.0000000000000001E-3</v>
      </c>
      <c r="D12" s="99">
        <v>1</v>
      </c>
      <c r="E12" s="117">
        <v>72</v>
      </c>
      <c r="F12" s="116">
        <v>0.111</v>
      </c>
      <c r="G12" s="40" t="s">
        <v>33</v>
      </c>
      <c r="H12" s="43" t="s">
        <v>24</v>
      </c>
    </row>
    <row r="13" spans="1:8" x14ac:dyDescent="0.3">
      <c r="A13" s="5" t="s">
        <v>197</v>
      </c>
      <c r="B13" s="100">
        <v>1167</v>
      </c>
      <c r="C13" s="101">
        <v>1</v>
      </c>
      <c r="D13" s="102"/>
      <c r="E13" s="103">
        <v>648.9</v>
      </c>
      <c r="F13" s="101">
        <v>1</v>
      </c>
      <c r="G13" s="102"/>
      <c r="H13" s="102"/>
    </row>
    <row r="15" spans="1:8" ht="17.25" customHeight="1" x14ac:dyDescent="0.3">
      <c r="A15" s="4" t="s">
        <v>198</v>
      </c>
    </row>
    <row r="17" spans="1:6" x14ac:dyDescent="0.3">
      <c r="A17" s="51" t="s">
        <v>199</v>
      </c>
      <c r="B17" s="7" t="s">
        <v>200</v>
      </c>
    </row>
    <row r="18" spans="1:6" x14ac:dyDescent="0.3">
      <c r="A18" s="51" t="s">
        <v>201</v>
      </c>
      <c r="B18" s="7" t="s">
        <v>202</v>
      </c>
    </row>
    <row r="19" spans="1:6" x14ac:dyDescent="0.3">
      <c r="A19" s="51" t="s">
        <v>203</v>
      </c>
      <c r="B19" s="7" t="s">
        <v>204</v>
      </c>
    </row>
    <row r="20" spans="1:6" x14ac:dyDescent="0.3">
      <c r="A20" s="51" t="s">
        <v>205</v>
      </c>
      <c r="B20" s="7" t="s">
        <v>206</v>
      </c>
    </row>
    <row r="21" spans="1:6" x14ac:dyDescent="0.3">
      <c r="A21" s="51" t="s">
        <v>207</v>
      </c>
      <c r="B21" s="7" t="s">
        <v>208</v>
      </c>
    </row>
    <row r="22" spans="1:6" x14ac:dyDescent="0.3">
      <c r="A22" s="51" t="s">
        <v>209</v>
      </c>
      <c r="B22" s="7" t="s">
        <v>210</v>
      </c>
    </row>
    <row r="23" spans="1:6" ht="17.25" customHeight="1" x14ac:dyDescent="0.3">
      <c r="A23" s="4" t="s">
        <v>211</v>
      </c>
    </row>
    <row r="25" spans="1:6" x14ac:dyDescent="0.3">
      <c r="A25" s="5" t="s">
        <v>145</v>
      </c>
      <c r="B25" s="5" t="s">
        <v>212</v>
      </c>
      <c r="C25" s="5" t="s">
        <v>213</v>
      </c>
      <c r="D25" s="5" t="s">
        <v>214</v>
      </c>
      <c r="E25" s="5" t="s">
        <v>215</v>
      </c>
      <c r="F25" s="5" t="s">
        <v>83</v>
      </c>
    </row>
    <row r="26" spans="1:6" x14ac:dyDescent="0.3">
      <c r="A26" s="47" t="s">
        <v>216</v>
      </c>
      <c r="B26" s="48">
        <v>29</v>
      </c>
      <c r="C26" s="104">
        <v>63.7</v>
      </c>
      <c r="D26" s="105">
        <v>21980</v>
      </c>
      <c r="E26" s="105">
        <v>29947</v>
      </c>
      <c r="F26" s="24" t="s">
        <v>217</v>
      </c>
    </row>
    <row r="27" spans="1:6" x14ac:dyDescent="0.3">
      <c r="A27" s="7" t="s">
        <v>218</v>
      </c>
      <c r="B27" s="49">
        <v>5</v>
      </c>
      <c r="C27" s="106">
        <v>45.8</v>
      </c>
      <c r="D27" s="107">
        <v>91661</v>
      </c>
      <c r="E27" s="107">
        <v>103904</v>
      </c>
      <c r="F27" s="40" t="s">
        <v>219</v>
      </c>
    </row>
    <row r="28" spans="1:6" x14ac:dyDescent="0.3">
      <c r="A28" s="47" t="s">
        <v>220</v>
      </c>
      <c r="B28" s="48">
        <v>28</v>
      </c>
      <c r="C28" s="104">
        <v>30.7</v>
      </c>
      <c r="D28" s="105">
        <v>10959</v>
      </c>
      <c r="E28" s="105">
        <v>29886</v>
      </c>
      <c r="F28" s="24" t="s">
        <v>217</v>
      </c>
    </row>
    <row r="29" spans="1:6" x14ac:dyDescent="0.3">
      <c r="A29" s="7" t="s">
        <v>221</v>
      </c>
      <c r="B29" s="49">
        <v>26</v>
      </c>
      <c r="C29" s="106">
        <v>25.4</v>
      </c>
      <c r="D29" s="107">
        <v>9765</v>
      </c>
      <c r="E29" s="107">
        <v>27991</v>
      </c>
      <c r="F29" s="24" t="s">
        <v>217</v>
      </c>
    </row>
    <row r="30" spans="1:6" x14ac:dyDescent="0.3">
      <c r="A30" s="47" t="s">
        <v>222</v>
      </c>
      <c r="B30" s="48">
        <v>15</v>
      </c>
      <c r="C30" s="104">
        <v>20.2</v>
      </c>
      <c r="D30" s="105">
        <v>13438</v>
      </c>
      <c r="E30" s="105">
        <v>15500</v>
      </c>
      <c r="F30" s="24" t="s">
        <v>217</v>
      </c>
    </row>
    <row r="31" spans="1:6" x14ac:dyDescent="0.3">
      <c r="A31" s="7" t="s">
        <v>223</v>
      </c>
      <c r="B31" s="49">
        <v>11</v>
      </c>
      <c r="C31" s="106">
        <v>9.1999999999999993</v>
      </c>
      <c r="D31" s="107">
        <v>8324</v>
      </c>
      <c r="E31" s="107">
        <v>18020</v>
      </c>
      <c r="F31" s="24" t="s">
        <v>217</v>
      </c>
    </row>
    <row r="32" spans="1:6" x14ac:dyDescent="0.3">
      <c r="A32" s="47" t="s">
        <v>224</v>
      </c>
      <c r="B32" s="48">
        <v>17</v>
      </c>
      <c r="C32" s="104">
        <v>6.4</v>
      </c>
      <c r="D32" s="105">
        <v>3743</v>
      </c>
      <c r="E32" s="105">
        <v>17638</v>
      </c>
      <c r="F32" s="18" t="s">
        <v>225</v>
      </c>
    </row>
    <row r="33" spans="1:6" x14ac:dyDescent="0.3">
      <c r="A33" s="7" t="s">
        <v>226</v>
      </c>
      <c r="B33" s="49">
        <v>3</v>
      </c>
      <c r="C33" s="106">
        <v>5.2</v>
      </c>
      <c r="D33" s="107">
        <v>17297</v>
      </c>
      <c r="E33" s="107">
        <v>43166</v>
      </c>
      <c r="F33" s="40" t="s">
        <v>227</v>
      </c>
    </row>
    <row r="34" spans="1:6" x14ac:dyDescent="0.3">
      <c r="A34" s="47" t="s">
        <v>228</v>
      </c>
      <c r="B34" s="48">
        <v>65</v>
      </c>
      <c r="C34" s="104">
        <v>4.5999999999999996</v>
      </c>
      <c r="D34" s="105">
        <v>709</v>
      </c>
      <c r="E34" s="105">
        <v>2421</v>
      </c>
      <c r="F34" s="10" t="s">
        <v>229</v>
      </c>
    </row>
    <row r="35" spans="1:6" x14ac:dyDescent="0.3">
      <c r="A35" s="7" t="s">
        <v>230</v>
      </c>
      <c r="B35" s="49">
        <v>12</v>
      </c>
      <c r="C35" s="106">
        <v>4.8</v>
      </c>
      <c r="D35" s="107">
        <v>4030</v>
      </c>
      <c r="E35" s="107">
        <v>6331</v>
      </c>
      <c r="F35" s="19" t="s">
        <v>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① 전결규정</vt:lpstr>
      <vt:lpstr>② 사업성 검토 체크리스트</vt:lpstr>
      <vt:lpstr>③ 사업성 검토 시뮬레이터</vt:lpstr>
      <vt:lpstr>③-1 사입적합성 간편법</vt:lpstr>
      <vt:lpstr>④ 데이터 분석 근거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seunggil.lee@myrealtrip.com</dc:creator>
  <cp:lastModifiedBy>seunggil.lee@myrealtrip.com</cp:lastModifiedBy>
  <dcterms:created xsi:type="dcterms:W3CDTF">2026-02-26T08:36:55Z</dcterms:created>
  <dcterms:modified xsi:type="dcterms:W3CDTF">2026-03-04T11:41:18Z</dcterms:modified>
</cp:coreProperties>
</file>